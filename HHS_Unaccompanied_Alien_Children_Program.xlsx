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s\Desktop\"/>
    </mc:Choice>
  </mc:AlternateContent>
  <xr:revisionPtr revIDLastSave="0" documentId="8_{8300FACF-44B5-484F-9468-63F58B3D2D19}" xr6:coauthVersionLast="47" xr6:coauthVersionMax="47" xr10:uidLastSave="{00000000-0000-0000-0000-000000000000}"/>
  <bookViews>
    <workbookView xWindow="-108" yWindow="-108" windowWidth="23256" windowHeight="12456" activeTab="1" xr2:uid="{7ED83358-86A5-41A5-886E-582B77B48112}"/>
  </bookViews>
  <sheets>
    <sheet name="HHS_Unaccompanied_Alien_Childre" sheetId="1" r:id="rId1"/>
    <sheet name="KPI Dashboard" sheetId="2" r:id="rId2"/>
  </sheets>
  <calcPr calcId="0"/>
</workbook>
</file>

<file path=xl/calcChain.xml><?xml version="1.0" encoding="utf-8"?>
<calcChain xmlns="http://schemas.openxmlformats.org/spreadsheetml/2006/main">
  <c r="B5" i="2" l="1"/>
  <c r="B3" i="2"/>
  <c r="B7" i="2"/>
  <c r="B6" i="2"/>
  <c r="B4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I720" i="1"/>
  <c r="I7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J2" i="1"/>
  <c r="I2" i="1"/>
  <c r="H2" i="1"/>
</calcChain>
</file>

<file path=xl/sharedStrings.xml><?xml version="1.0" encoding="utf-8"?>
<sst xmlns="http://schemas.openxmlformats.org/spreadsheetml/2006/main" count="18" uniqueCount="18">
  <si>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</si>
  <si>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</si>
  <si>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</si>
  <si>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</si>
  <si>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</si>
  <si>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</si>
  <si>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Transfer Efficiency Ratio</t>
  </si>
  <si>
    <t>Discharge Effectiveness</t>
  </si>
  <si>
    <t>Backlog Accumulation</t>
  </si>
  <si>
    <t>Month</t>
  </si>
  <si>
    <t>KPI</t>
  </si>
  <si>
    <t>Value</t>
  </si>
  <si>
    <t>Avg Transfer Efficiency</t>
  </si>
  <si>
    <t>Avg Discharge Effectiveness</t>
  </si>
  <si>
    <t>Avg Backlog Accumulation</t>
  </si>
  <si>
    <t>Max CBP Custody</t>
  </si>
  <si>
    <t>Max HHS Care</t>
  </si>
  <si>
    <t>HHS Unaccompanied Alien Children Program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</si>
</sst>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14" fontId="0" fillId="0" borderId="0" xfId="0" applyNumberFormat="1"/>
    <xf numFmtId="15" fontId="0" fillId="0" borderId="0" xfId="0" applyNumberFormat="1"/>
    <xf numFmtId="170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Care Pipeline Population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15885605243172"/>
          <c:y val="0.10302394250186564"/>
          <c:w val="0.7412193771883957"/>
          <c:h val="0.65957845728119868"/>
        </c:manualLayout>
      </c:layout>
      <c:lineChart>
        <c:grouping val="standard"/>
        <c:varyColors val="0"/>
        <c:ser>
          <c:idx val="0"/>
          <c:order val="0"/>
          <c:tx>
            <c:strRef>
              <c:f>HHS_Unaccompanied_Alien_Childre!$D$1</c:f>
              <c:strCache>
                <c:ptCount val="1"/>
                <c:pt idx="0">
                  <c:v>Children in CBP custody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A2:A721</c:v>
              </c:pt>
            </c:strLit>
          </c:cat>
          <c:val>
            <c:numRef>
              <c:f>HHS_Unaccompanied_Alien_Childre!$D$2:$D$721</c:f>
              <c:numCache>
                <c:formatCode>General</c:formatCode>
                <c:ptCount val="720"/>
                <c:pt idx="0">
                  <c:v>18</c:v>
                </c:pt>
                <c:pt idx="1">
                  <c:v>50</c:v>
                </c:pt>
                <c:pt idx="2">
                  <c:v>31</c:v>
                </c:pt>
                <c:pt idx="3">
                  <c:v>54</c:v>
                </c:pt>
                <c:pt idx="4">
                  <c:v>42</c:v>
                </c:pt>
                <c:pt idx="5">
                  <c:v>35</c:v>
                </c:pt>
                <c:pt idx="6">
                  <c:v>47</c:v>
                </c:pt>
                <c:pt idx="7">
                  <c:v>54</c:v>
                </c:pt>
                <c:pt idx="8">
                  <c:v>30</c:v>
                </c:pt>
                <c:pt idx="9">
                  <c:v>27</c:v>
                </c:pt>
                <c:pt idx="10">
                  <c:v>24</c:v>
                </c:pt>
                <c:pt idx="11">
                  <c:v>39</c:v>
                </c:pt>
                <c:pt idx="12">
                  <c:v>32</c:v>
                </c:pt>
                <c:pt idx="13">
                  <c:v>34</c:v>
                </c:pt>
                <c:pt idx="14">
                  <c:v>26</c:v>
                </c:pt>
                <c:pt idx="15">
                  <c:v>18</c:v>
                </c:pt>
                <c:pt idx="16">
                  <c:v>24</c:v>
                </c:pt>
                <c:pt idx="17">
                  <c:v>47</c:v>
                </c:pt>
                <c:pt idx="18">
                  <c:v>40</c:v>
                </c:pt>
                <c:pt idx="19">
                  <c:v>46</c:v>
                </c:pt>
                <c:pt idx="20">
                  <c:v>57</c:v>
                </c:pt>
                <c:pt idx="21">
                  <c:v>32</c:v>
                </c:pt>
                <c:pt idx="22">
                  <c:v>38</c:v>
                </c:pt>
                <c:pt idx="23">
                  <c:v>35</c:v>
                </c:pt>
                <c:pt idx="24">
                  <c:v>22</c:v>
                </c:pt>
                <c:pt idx="25">
                  <c:v>26</c:v>
                </c:pt>
                <c:pt idx="26">
                  <c:v>48</c:v>
                </c:pt>
                <c:pt idx="27">
                  <c:v>39</c:v>
                </c:pt>
                <c:pt idx="28">
                  <c:v>33</c:v>
                </c:pt>
                <c:pt idx="29">
                  <c:v>33</c:v>
                </c:pt>
                <c:pt idx="30">
                  <c:v>41</c:v>
                </c:pt>
                <c:pt idx="31">
                  <c:v>33</c:v>
                </c:pt>
                <c:pt idx="32">
                  <c:v>28</c:v>
                </c:pt>
                <c:pt idx="33">
                  <c:v>21</c:v>
                </c:pt>
                <c:pt idx="34">
                  <c:v>17</c:v>
                </c:pt>
                <c:pt idx="35">
                  <c:v>25</c:v>
                </c:pt>
                <c:pt idx="36">
                  <c:v>22</c:v>
                </c:pt>
                <c:pt idx="37">
                  <c:v>31</c:v>
                </c:pt>
                <c:pt idx="38">
                  <c:v>35</c:v>
                </c:pt>
                <c:pt idx="39">
                  <c:v>27</c:v>
                </c:pt>
                <c:pt idx="40">
                  <c:v>42</c:v>
                </c:pt>
                <c:pt idx="41">
                  <c:v>39</c:v>
                </c:pt>
                <c:pt idx="42">
                  <c:v>39</c:v>
                </c:pt>
                <c:pt idx="43">
                  <c:v>34</c:v>
                </c:pt>
                <c:pt idx="44">
                  <c:v>33</c:v>
                </c:pt>
                <c:pt idx="45">
                  <c:v>29</c:v>
                </c:pt>
                <c:pt idx="46">
                  <c:v>30</c:v>
                </c:pt>
                <c:pt idx="47">
                  <c:v>24</c:v>
                </c:pt>
                <c:pt idx="48">
                  <c:v>55</c:v>
                </c:pt>
                <c:pt idx="49">
                  <c:v>49</c:v>
                </c:pt>
                <c:pt idx="50">
                  <c:v>45</c:v>
                </c:pt>
                <c:pt idx="51">
                  <c:v>33</c:v>
                </c:pt>
                <c:pt idx="52">
                  <c:v>28</c:v>
                </c:pt>
                <c:pt idx="53">
                  <c:v>51</c:v>
                </c:pt>
                <c:pt idx="54">
                  <c:v>33</c:v>
                </c:pt>
                <c:pt idx="55">
                  <c:v>32</c:v>
                </c:pt>
                <c:pt idx="56">
                  <c:v>35</c:v>
                </c:pt>
                <c:pt idx="57">
                  <c:v>29</c:v>
                </c:pt>
                <c:pt idx="58">
                  <c:v>35</c:v>
                </c:pt>
                <c:pt idx="59">
                  <c:v>38</c:v>
                </c:pt>
                <c:pt idx="60">
                  <c:v>36</c:v>
                </c:pt>
                <c:pt idx="61">
                  <c:v>40</c:v>
                </c:pt>
                <c:pt idx="62">
                  <c:v>35</c:v>
                </c:pt>
                <c:pt idx="63">
                  <c:v>52</c:v>
                </c:pt>
                <c:pt idx="64">
                  <c:v>38</c:v>
                </c:pt>
                <c:pt idx="65">
                  <c:v>28</c:v>
                </c:pt>
                <c:pt idx="66">
                  <c:v>47</c:v>
                </c:pt>
                <c:pt idx="67">
                  <c:v>39</c:v>
                </c:pt>
                <c:pt idx="68">
                  <c:v>38</c:v>
                </c:pt>
                <c:pt idx="69">
                  <c:v>47</c:v>
                </c:pt>
                <c:pt idx="70">
                  <c:v>42</c:v>
                </c:pt>
                <c:pt idx="71">
                  <c:v>25</c:v>
                </c:pt>
                <c:pt idx="72">
                  <c:v>19</c:v>
                </c:pt>
                <c:pt idx="73">
                  <c:v>40</c:v>
                </c:pt>
                <c:pt idx="74">
                  <c:v>29</c:v>
                </c:pt>
                <c:pt idx="75">
                  <c:v>35</c:v>
                </c:pt>
                <c:pt idx="76">
                  <c:v>29</c:v>
                </c:pt>
                <c:pt idx="77">
                  <c:v>33</c:v>
                </c:pt>
                <c:pt idx="78">
                  <c:v>19</c:v>
                </c:pt>
                <c:pt idx="79">
                  <c:v>21</c:v>
                </c:pt>
                <c:pt idx="80">
                  <c:v>30</c:v>
                </c:pt>
                <c:pt idx="81">
                  <c:v>21</c:v>
                </c:pt>
                <c:pt idx="82">
                  <c:v>49</c:v>
                </c:pt>
                <c:pt idx="83">
                  <c:v>38</c:v>
                </c:pt>
                <c:pt idx="84">
                  <c:v>35</c:v>
                </c:pt>
                <c:pt idx="85">
                  <c:v>20</c:v>
                </c:pt>
                <c:pt idx="86">
                  <c:v>14</c:v>
                </c:pt>
                <c:pt idx="87">
                  <c:v>27</c:v>
                </c:pt>
                <c:pt idx="88">
                  <c:v>22</c:v>
                </c:pt>
                <c:pt idx="89">
                  <c:v>38</c:v>
                </c:pt>
                <c:pt idx="90">
                  <c:v>23</c:v>
                </c:pt>
                <c:pt idx="91">
                  <c:v>18</c:v>
                </c:pt>
                <c:pt idx="92">
                  <c:v>18</c:v>
                </c:pt>
                <c:pt idx="93">
                  <c:v>17</c:v>
                </c:pt>
                <c:pt idx="94">
                  <c:v>21</c:v>
                </c:pt>
                <c:pt idx="95">
                  <c:v>22</c:v>
                </c:pt>
                <c:pt idx="96">
                  <c:v>26</c:v>
                </c:pt>
                <c:pt idx="97">
                  <c:v>9</c:v>
                </c:pt>
                <c:pt idx="98">
                  <c:v>15</c:v>
                </c:pt>
                <c:pt idx="99">
                  <c:v>8</c:v>
                </c:pt>
                <c:pt idx="100">
                  <c:v>9</c:v>
                </c:pt>
                <c:pt idx="101">
                  <c:v>12</c:v>
                </c:pt>
                <c:pt idx="102">
                  <c:v>18</c:v>
                </c:pt>
                <c:pt idx="103">
                  <c:v>21</c:v>
                </c:pt>
                <c:pt idx="104">
                  <c:v>13</c:v>
                </c:pt>
                <c:pt idx="105">
                  <c:v>18</c:v>
                </c:pt>
                <c:pt idx="106">
                  <c:v>16</c:v>
                </c:pt>
                <c:pt idx="107">
                  <c:v>9</c:v>
                </c:pt>
                <c:pt idx="108">
                  <c:v>8</c:v>
                </c:pt>
                <c:pt idx="109">
                  <c:v>9</c:v>
                </c:pt>
                <c:pt idx="110">
                  <c:v>13</c:v>
                </c:pt>
                <c:pt idx="111">
                  <c:v>12</c:v>
                </c:pt>
                <c:pt idx="112">
                  <c:v>18</c:v>
                </c:pt>
                <c:pt idx="113">
                  <c:v>16</c:v>
                </c:pt>
                <c:pt idx="114">
                  <c:v>18</c:v>
                </c:pt>
                <c:pt idx="115">
                  <c:v>17</c:v>
                </c:pt>
                <c:pt idx="116">
                  <c:v>20</c:v>
                </c:pt>
                <c:pt idx="117">
                  <c:v>14</c:v>
                </c:pt>
                <c:pt idx="118">
                  <c:v>22</c:v>
                </c:pt>
                <c:pt idx="119">
                  <c:v>17</c:v>
                </c:pt>
                <c:pt idx="120">
                  <c:v>9</c:v>
                </c:pt>
                <c:pt idx="121">
                  <c:v>12</c:v>
                </c:pt>
                <c:pt idx="122">
                  <c:v>20</c:v>
                </c:pt>
                <c:pt idx="123">
                  <c:v>15</c:v>
                </c:pt>
                <c:pt idx="124">
                  <c:v>13</c:v>
                </c:pt>
                <c:pt idx="125">
                  <c:v>19</c:v>
                </c:pt>
                <c:pt idx="126">
                  <c:v>24</c:v>
                </c:pt>
                <c:pt idx="127">
                  <c:v>28</c:v>
                </c:pt>
                <c:pt idx="128">
                  <c:v>21</c:v>
                </c:pt>
                <c:pt idx="129">
                  <c:v>16</c:v>
                </c:pt>
                <c:pt idx="130">
                  <c:v>26</c:v>
                </c:pt>
                <c:pt idx="131">
                  <c:v>16</c:v>
                </c:pt>
                <c:pt idx="132">
                  <c:v>23</c:v>
                </c:pt>
                <c:pt idx="133">
                  <c:v>19</c:v>
                </c:pt>
                <c:pt idx="134">
                  <c:v>24</c:v>
                </c:pt>
                <c:pt idx="135">
                  <c:v>38</c:v>
                </c:pt>
                <c:pt idx="136">
                  <c:v>39</c:v>
                </c:pt>
                <c:pt idx="137">
                  <c:v>24</c:v>
                </c:pt>
                <c:pt idx="138">
                  <c:v>36</c:v>
                </c:pt>
                <c:pt idx="139">
                  <c:v>62</c:v>
                </c:pt>
                <c:pt idx="140">
                  <c:v>27</c:v>
                </c:pt>
                <c:pt idx="141">
                  <c:v>28</c:v>
                </c:pt>
                <c:pt idx="142">
                  <c:v>31</c:v>
                </c:pt>
                <c:pt idx="143">
                  <c:v>30</c:v>
                </c:pt>
                <c:pt idx="144">
                  <c:v>29</c:v>
                </c:pt>
                <c:pt idx="145">
                  <c:v>33</c:v>
                </c:pt>
                <c:pt idx="146">
                  <c:v>20</c:v>
                </c:pt>
                <c:pt idx="147">
                  <c:v>24</c:v>
                </c:pt>
                <c:pt idx="148">
                  <c:v>30</c:v>
                </c:pt>
                <c:pt idx="149">
                  <c:v>33</c:v>
                </c:pt>
                <c:pt idx="150">
                  <c:v>44</c:v>
                </c:pt>
                <c:pt idx="151">
                  <c:v>31</c:v>
                </c:pt>
                <c:pt idx="152">
                  <c:v>32</c:v>
                </c:pt>
                <c:pt idx="153">
                  <c:v>34</c:v>
                </c:pt>
                <c:pt idx="154">
                  <c:v>25</c:v>
                </c:pt>
                <c:pt idx="155">
                  <c:v>26</c:v>
                </c:pt>
                <c:pt idx="156">
                  <c:v>40</c:v>
                </c:pt>
                <c:pt idx="157">
                  <c:v>9</c:v>
                </c:pt>
                <c:pt idx="158">
                  <c:v>23</c:v>
                </c:pt>
                <c:pt idx="159">
                  <c:v>19</c:v>
                </c:pt>
                <c:pt idx="160">
                  <c:v>25</c:v>
                </c:pt>
                <c:pt idx="161">
                  <c:v>15</c:v>
                </c:pt>
                <c:pt idx="162">
                  <c:v>26</c:v>
                </c:pt>
                <c:pt idx="163">
                  <c:v>30</c:v>
                </c:pt>
                <c:pt idx="164">
                  <c:v>19</c:v>
                </c:pt>
                <c:pt idx="165">
                  <c:v>26</c:v>
                </c:pt>
                <c:pt idx="166">
                  <c:v>26</c:v>
                </c:pt>
                <c:pt idx="167">
                  <c:v>22</c:v>
                </c:pt>
                <c:pt idx="168">
                  <c:v>25</c:v>
                </c:pt>
                <c:pt idx="169">
                  <c:v>19</c:v>
                </c:pt>
                <c:pt idx="170">
                  <c:v>34</c:v>
                </c:pt>
                <c:pt idx="171">
                  <c:v>22</c:v>
                </c:pt>
                <c:pt idx="172">
                  <c:v>14</c:v>
                </c:pt>
                <c:pt idx="173">
                  <c:v>26</c:v>
                </c:pt>
                <c:pt idx="174">
                  <c:v>31</c:v>
                </c:pt>
                <c:pt idx="175">
                  <c:v>36</c:v>
                </c:pt>
                <c:pt idx="176">
                  <c:v>25</c:v>
                </c:pt>
                <c:pt idx="177">
                  <c:v>20</c:v>
                </c:pt>
                <c:pt idx="178">
                  <c:v>19</c:v>
                </c:pt>
                <c:pt idx="179">
                  <c:v>21</c:v>
                </c:pt>
                <c:pt idx="180">
                  <c:v>19</c:v>
                </c:pt>
                <c:pt idx="181">
                  <c:v>13</c:v>
                </c:pt>
                <c:pt idx="182">
                  <c:v>29</c:v>
                </c:pt>
                <c:pt idx="183">
                  <c:v>20</c:v>
                </c:pt>
                <c:pt idx="184">
                  <c:v>22</c:v>
                </c:pt>
                <c:pt idx="185">
                  <c:v>34</c:v>
                </c:pt>
                <c:pt idx="186">
                  <c:v>14</c:v>
                </c:pt>
                <c:pt idx="187">
                  <c:v>9</c:v>
                </c:pt>
                <c:pt idx="188">
                  <c:v>20</c:v>
                </c:pt>
                <c:pt idx="189">
                  <c:v>18</c:v>
                </c:pt>
                <c:pt idx="190">
                  <c:v>11</c:v>
                </c:pt>
                <c:pt idx="191">
                  <c:v>28</c:v>
                </c:pt>
                <c:pt idx="192">
                  <c:v>25</c:v>
                </c:pt>
                <c:pt idx="193">
                  <c:v>27</c:v>
                </c:pt>
                <c:pt idx="194">
                  <c:v>20</c:v>
                </c:pt>
                <c:pt idx="195">
                  <c:v>25</c:v>
                </c:pt>
                <c:pt idx="196">
                  <c:v>29</c:v>
                </c:pt>
                <c:pt idx="197">
                  <c:v>24</c:v>
                </c:pt>
                <c:pt idx="198">
                  <c:v>15</c:v>
                </c:pt>
                <c:pt idx="199">
                  <c:v>21</c:v>
                </c:pt>
                <c:pt idx="200">
                  <c:v>7</c:v>
                </c:pt>
                <c:pt idx="201">
                  <c:v>22</c:v>
                </c:pt>
                <c:pt idx="202">
                  <c:v>16</c:v>
                </c:pt>
                <c:pt idx="203">
                  <c:v>25</c:v>
                </c:pt>
                <c:pt idx="204">
                  <c:v>17</c:v>
                </c:pt>
                <c:pt idx="205">
                  <c:v>19</c:v>
                </c:pt>
                <c:pt idx="206">
                  <c:v>17</c:v>
                </c:pt>
                <c:pt idx="207">
                  <c:v>10</c:v>
                </c:pt>
                <c:pt idx="208">
                  <c:v>20</c:v>
                </c:pt>
                <c:pt idx="209">
                  <c:v>22</c:v>
                </c:pt>
                <c:pt idx="210">
                  <c:v>18</c:v>
                </c:pt>
                <c:pt idx="211">
                  <c:v>13</c:v>
                </c:pt>
                <c:pt idx="212">
                  <c:v>32</c:v>
                </c:pt>
                <c:pt idx="213">
                  <c:v>36</c:v>
                </c:pt>
                <c:pt idx="214">
                  <c:v>54</c:v>
                </c:pt>
                <c:pt idx="215">
                  <c:v>45</c:v>
                </c:pt>
                <c:pt idx="216">
                  <c:v>22</c:v>
                </c:pt>
                <c:pt idx="217">
                  <c:v>42</c:v>
                </c:pt>
                <c:pt idx="218">
                  <c:v>50</c:v>
                </c:pt>
                <c:pt idx="219">
                  <c:v>49</c:v>
                </c:pt>
                <c:pt idx="220">
                  <c:v>53</c:v>
                </c:pt>
                <c:pt idx="221">
                  <c:v>51</c:v>
                </c:pt>
                <c:pt idx="222">
                  <c:v>75</c:v>
                </c:pt>
                <c:pt idx="223">
                  <c:v>97</c:v>
                </c:pt>
                <c:pt idx="224">
                  <c:v>64</c:v>
                </c:pt>
                <c:pt idx="225">
                  <c:v>118</c:v>
                </c:pt>
                <c:pt idx="226">
                  <c:v>152</c:v>
                </c:pt>
                <c:pt idx="227">
                  <c:v>196</c:v>
                </c:pt>
                <c:pt idx="228">
                  <c:v>162</c:v>
                </c:pt>
                <c:pt idx="229">
                  <c:v>124</c:v>
                </c:pt>
                <c:pt idx="230">
                  <c:v>107</c:v>
                </c:pt>
                <c:pt idx="231">
                  <c:v>103</c:v>
                </c:pt>
                <c:pt idx="232">
                  <c:v>82</c:v>
                </c:pt>
                <c:pt idx="233">
                  <c:v>80</c:v>
                </c:pt>
                <c:pt idx="234">
                  <c:v>83</c:v>
                </c:pt>
                <c:pt idx="235">
                  <c:v>60</c:v>
                </c:pt>
                <c:pt idx="236">
                  <c:v>73</c:v>
                </c:pt>
                <c:pt idx="237">
                  <c:v>70</c:v>
                </c:pt>
                <c:pt idx="238">
                  <c:v>66</c:v>
                </c:pt>
                <c:pt idx="239">
                  <c:v>156</c:v>
                </c:pt>
                <c:pt idx="240">
                  <c:v>170</c:v>
                </c:pt>
                <c:pt idx="241">
                  <c:v>122</c:v>
                </c:pt>
                <c:pt idx="242">
                  <c:v>162</c:v>
                </c:pt>
                <c:pt idx="243">
                  <c:v>304</c:v>
                </c:pt>
                <c:pt idx="244">
                  <c:v>294</c:v>
                </c:pt>
                <c:pt idx="245">
                  <c:v>255</c:v>
                </c:pt>
                <c:pt idx="246">
                  <c:v>412</c:v>
                </c:pt>
                <c:pt idx="247">
                  <c:v>285</c:v>
                </c:pt>
                <c:pt idx="248">
                  <c:v>310</c:v>
                </c:pt>
                <c:pt idx="249">
                  <c:v>287</c:v>
                </c:pt>
                <c:pt idx="250">
                  <c:v>337</c:v>
                </c:pt>
                <c:pt idx="251">
                  <c:v>253</c:v>
                </c:pt>
                <c:pt idx="252">
                  <c:v>353</c:v>
                </c:pt>
                <c:pt idx="253">
                  <c:v>326</c:v>
                </c:pt>
                <c:pt idx="254">
                  <c:v>315</c:v>
                </c:pt>
                <c:pt idx="255">
                  <c:v>243</c:v>
                </c:pt>
                <c:pt idx="256">
                  <c:v>283</c:v>
                </c:pt>
                <c:pt idx="257">
                  <c:v>245</c:v>
                </c:pt>
                <c:pt idx="258">
                  <c:v>230</c:v>
                </c:pt>
                <c:pt idx="259">
                  <c:v>330</c:v>
                </c:pt>
                <c:pt idx="260">
                  <c:v>306</c:v>
                </c:pt>
                <c:pt idx="261">
                  <c:v>280</c:v>
                </c:pt>
                <c:pt idx="262">
                  <c:v>367</c:v>
                </c:pt>
                <c:pt idx="263">
                  <c:v>272</c:v>
                </c:pt>
                <c:pt idx="264">
                  <c:v>297</c:v>
                </c:pt>
                <c:pt idx="265">
                  <c:v>283</c:v>
                </c:pt>
                <c:pt idx="266">
                  <c:v>214</c:v>
                </c:pt>
                <c:pt idx="267">
                  <c:v>212</c:v>
                </c:pt>
                <c:pt idx="268">
                  <c:v>209</c:v>
                </c:pt>
                <c:pt idx="269">
                  <c:v>203</c:v>
                </c:pt>
                <c:pt idx="270">
                  <c:v>210</c:v>
                </c:pt>
                <c:pt idx="271">
                  <c:v>219</c:v>
                </c:pt>
                <c:pt idx="272">
                  <c:v>245</c:v>
                </c:pt>
                <c:pt idx="273">
                  <c:v>235</c:v>
                </c:pt>
                <c:pt idx="274">
                  <c:v>139</c:v>
                </c:pt>
                <c:pt idx="275">
                  <c:v>232</c:v>
                </c:pt>
                <c:pt idx="276">
                  <c:v>256</c:v>
                </c:pt>
                <c:pt idx="277">
                  <c:v>245</c:v>
                </c:pt>
                <c:pt idx="278">
                  <c:v>209</c:v>
                </c:pt>
                <c:pt idx="279">
                  <c:v>171</c:v>
                </c:pt>
                <c:pt idx="280">
                  <c:v>246</c:v>
                </c:pt>
                <c:pt idx="281">
                  <c:v>276</c:v>
                </c:pt>
                <c:pt idx="282">
                  <c:v>277</c:v>
                </c:pt>
                <c:pt idx="283">
                  <c:v>272</c:v>
                </c:pt>
                <c:pt idx="284">
                  <c:v>313</c:v>
                </c:pt>
                <c:pt idx="285">
                  <c:v>294</c:v>
                </c:pt>
                <c:pt idx="286">
                  <c:v>280</c:v>
                </c:pt>
                <c:pt idx="287">
                  <c:v>220</c:v>
                </c:pt>
                <c:pt idx="288">
                  <c:v>276</c:v>
                </c:pt>
                <c:pt idx="289">
                  <c:v>230</c:v>
                </c:pt>
                <c:pt idx="290">
                  <c:v>285</c:v>
                </c:pt>
                <c:pt idx="291">
                  <c:v>208</c:v>
                </c:pt>
                <c:pt idx="292">
                  <c:v>214</c:v>
                </c:pt>
                <c:pt idx="293">
                  <c:v>227</c:v>
                </c:pt>
                <c:pt idx="294">
                  <c:v>158</c:v>
                </c:pt>
                <c:pt idx="295">
                  <c:v>216</c:v>
                </c:pt>
                <c:pt idx="296">
                  <c:v>239</c:v>
                </c:pt>
                <c:pt idx="297">
                  <c:v>190</c:v>
                </c:pt>
                <c:pt idx="298">
                  <c:v>162</c:v>
                </c:pt>
                <c:pt idx="299">
                  <c:v>215</c:v>
                </c:pt>
                <c:pt idx="300">
                  <c:v>314</c:v>
                </c:pt>
                <c:pt idx="301">
                  <c:v>285</c:v>
                </c:pt>
                <c:pt idx="302">
                  <c:v>213</c:v>
                </c:pt>
                <c:pt idx="303">
                  <c:v>199</c:v>
                </c:pt>
                <c:pt idx="304">
                  <c:v>225</c:v>
                </c:pt>
                <c:pt idx="305">
                  <c:v>259</c:v>
                </c:pt>
                <c:pt idx="306">
                  <c:v>203</c:v>
                </c:pt>
                <c:pt idx="307">
                  <c:v>234</c:v>
                </c:pt>
                <c:pt idx="308">
                  <c:v>196</c:v>
                </c:pt>
                <c:pt idx="309">
                  <c:v>213</c:v>
                </c:pt>
                <c:pt idx="310">
                  <c:v>304</c:v>
                </c:pt>
                <c:pt idx="311">
                  <c:v>209</c:v>
                </c:pt>
                <c:pt idx="312">
                  <c:v>220</c:v>
                </c:pt>
                <c:pt idx="313">
                  <c:v>200</c:v>
                </c:pt>
                <c:pt idx="314">
                  <c:v>280</c:v>
                </c:pt>
                <c:pt idx="315">
                  <c:v>248</c:v>
                </c:pt>
                <c:pt idx="316">
                  <c:v>251</c:v>
                </c:pt>
                <c:pt idx="317">
                  <c:v>275</c:v>
                </c:pt>
                <c:pt idx="318">
                  <c:v>255</c:v>
                </c:pt>
                <c:pt idx="319">
                  <c:v>230</c:v>
                </c:pt>
                <c:pt idx="320">
                  <c:v>231</c:v>
                </c:pt>
                <c:pt idx="321">
                  <c:v>263</c:v>
                </c:pt>
                <c:pt idx="322">
                  <c:v>270</c:v>
                </c:pt>
                <c:pt idx="323">
                  <c:v>295</c:v>
                </c:pt>
                <c:pt idx="324">
                  <c:v>285</c:v>
                </c:pt>
                <c:pt idx="325">
                  <c:v>285</c:v>
                </c:pt>
                <c:pt idx="326">
                  <c:v>307</c:v>
                </c:pt>
                <c:pt idx="327">
                  <c:v>245</c:v>
                </c:pt>
                <c:pt idx="328">
                  <c:v>274</c:v>
                </c:pt>
                <c:pt idx="329">
                  <c:v>254</c:v>
                </c:pt>
                <c:pt idx="330">
                  <c:v>244</c:v>
                </c:pt>
                <c:pt idx="331">
                  <c:v>241</c:v>
                </c:pt>
                <c:pt idx="332">
                  <c:v>226</c:v>
                </c:pt>
                <c:pt idx="333">
                  <c:v>239</c:v>
                </c:pt>
                <c:pt idx="334">
                  <c:v>219</c:v>
                </c:pt>
                <c:pt idx="335">
                  <c:v>211</c:v>
                </c:pt>
                <c:pt idx="336">
                  <c:v>230</c:v>
                </c:pt>
                <c:pt idx="337">
                  <c:v>273</c:v>
                </c:pt>
                <c:pt idx="338">
                  <c:v>283</c:v>
                </c:pt>
                <c:pt idx="339">
                  <c:v>259</c:v>
                </c:pt>
                <c:pt idx="340">
                  <c:v>167</c:v>
                </c:pt>
                <c:pt idx="341">
                  <c:v>298</c:v>
                </c:pt>
                <c:pt idx="342">
                  <c:v>261</c:v>
                </c:pt>
                <c:pt idx="343">
                  <c:v>203</c:v>
                </c:pt>
                <c:pt idx="344">
                  <c:v>210</c:v>
                </c:pt>
                <c:pt idx="345">
                  <c:v>290</c:v>
                </c:pt>
                <c:pt idx="346">
                  <c:v>198</c:v>
                </c:pt>
                <c:pt idx="347">
                  <c:v>272</c:v>
                </c:pt>
                <c:pt idx="348">
                  <c:v>257</c:v>
                </c:pt>
                <c:pt idx="349">
                  <c:v>189</c:v>
                </c:pt>
                <c:pt idx="350">
                  <c:v>196</c:v>
                </c:pt>
                <c:pt idx="351">
                  <c:v>228</c:v>
                </c:pt>
                <c:pt idx="352">
                  <c:v>246</c:v>
                </c:pt>
                <c:pt idx="353">
                  <c:v>185</c:v>
                </c:pt>
                <c:pt idx="354">
                  <c:v>188</c:v>
                </c:pt>
                <c:pt idx="355">
                  <c:v>176</c:v>
                </c:pt>
                <c:pt idx="356">
                  <c:v>157</c:v>
                </c:pt>
                <c:pt idx="357">
                  <c:v>181</c:v>
                </c:pt>
                <c:pt idx="358">
                  <c:v>173</c:v>
                </c:pt>
                <c:pt idx="359">
                  <c:v>160</c:v>
                </c:pt>
                <c:pt idx="360">
                  <c:v>226</c:v>
                </c:pt>
                <c:pt idx="361">
                  <c:v>232</c:v>
                </c:pt>
                <c:pt idx="362">
                  <c:v>233</c:v>
                </c:pt>
                <c:pt idx="363">
                  <c:v>230</c:v>
                </c:pt>
                <c:pt idx="364">
                  <c:v>208</c:v>
                </c:pt>
                <c:pt idx="365">
                  <c:v>235</c:v>
                </c:pt>
                <c:pt idx="366">
                  <c:v>263</c:v>
                </c:pt>
                <c:pt idx="367">
                  <c:v>175</c:v>
                </c:pt>
                <c:pt idx="368">
                  <c:v>227</c:v>
                </c:pt>
                <c:pt idx="369">
                  <c:v>247</c:v>
                </c:pt>
                <c:pt idx="370">
                  <c:v>321</c:v>
                </c:pt>
                <c:pt idx="371">
                  <c:v>297</c:v>
                </c:pt>
                <c:pt idx="372">
                  <c:v>310</c:v>
                </c:pt>
                <c:pt idx="373">
                  <c:v>315</c:v>
                </c:pt>
                <c:pt idx="374">
                  <c:v>293</c:v>
                </c:pt>
                <c:pt idx="375">
                  <c:v>266</c:v>
                </c:pt>
                <c:pt idx="376">
                  <c:v>352</c:v>
                </c:pt>
                <c:pt idx="377">
                  <c:v>334</c:v>
                </c:pt>
                <c:pt idx="378">
                  <c:v>289</c:v>
                </c:pt>
                <c:pt idx="379">
                  <c:v>326</c:v>
                </c:pt>
                <c:pt idx="380">
                  <c:v>345</c:v>
                </c:pt>
                <c:pt idx="381">
                  <c:v>356</c:v>
                </c:pt>
                <c:pt idx="382">
                  <c:v>244</c:v>
                </c:pt>
                <c:pt idx="383">
                  <c:v>330</c:v>
                </c:pt>
                <c:pt idx="384">
                  <c:v>406</c:v>
                </c:pt>
                <c:pt idx="385">
                  <c:v>462</c:v>
                </c:pt>
                <c:pt idx="386">
                  <c:v>348</c:v>
                </c:pt>
                <c:pt idx="387">
                  <c:v>344</c:v>
                </c:pt>
                <c:pt idx="388">
                  <c:v>272</c:v>
                </c:pt>
                <c:pt idx="389">
                  <c:v>349</c:v>
                </c:pt>
                <c:pt idx="390">
                  <c:v>348</c:v>
                </c:pt>
                <c:pt idx="391">
                  <c:v>268</c:v>
                </c:pt>
                <c:pt idx="392">
                  <c:v>295</c:v>
                </c:pt>
                <c:pt idx="393">
                  <c:v>340</c:v>
                </c:pt>
                <c:pt idx="394">
                  <c:v>285</c:v>
                </c:pt>
                <c:pt idx="395">
                  <c:v>419</c:v>
                </c:pt>
                <c:pt idx="396">
                  <c:v>331</c:v>
                </c:pt>
                <c:pt idx="397">
                  <c:v>301</c:v>
                </c:pt>
                <c:pt idx="398">
                  <c:v>285</c:v>
                </c:pt>
                <c:pt idx="399">
                  <c:v>374</c:v>
                </c:pt>
                <c:pt idx="400">
                  <c:v>334</c:v>
                </c:pt>
                <c:pt idx="401">
                  <c:v>337</c:v>
                </c:pt>
                <c:pt idx="402">
                  <c:v>315</c:v>
                </c:pt>
                <c:pt idx="403">
                  <c:v>411</c:v>
                </c:pt>
                <c:pt idx="404">
                  <c:v>437</c:v>
                </c:pt>
                <c:pt idx="405">
                  <c:v>443</c:v>
                </c:pt>
                <c:pt idx="406">
                  <c:v>292</c:v>
                </c:pt>
                <c:pt idx="407">
                  <c:v>349</c:v>
                </c:pt>
                <c:pt idx="408">
                  <c:v>357</c:v>
                </c:pt>
                <c:pt idx="409">
                  <c:v>411</c:v>
                </c:pt>
                <c:pt idx="410">
                  <c:v>427</c:v>
                </c:pt>
                <c:pt idx="411">
                  <c:v>424</c:v>
                </c:pt>
                <c:pt idx="412">
                  <c:v>380</c:v>
                </c:pt>
                <c:pt idx="413">
                  <c:v>322</c:v>
                </c:pt>
                <c:pt idx="414">
                  <c:v>371</c:v>
                </c:pt>
                <c:pt idx="415">
                  <c:v>392</c:v>
                </c:pt>
                <c:pt idx="416">
                  <c:v>303</c:v>
                </c:pt>
                <c:pt idx="417">
                  <c:v>245</c:v>
                </c:pt>
                <c:pt idx="418">
                  <c:v>221</c:v>
                </c:pt>
                <c:pt idx="419">
                  <c:v>244</c:v>
                </c:pt>
                <c:pt idx="420">
                  <c:v>231</c:v>
                </c:pt>
                <c:pt idx="421">
                  <c:v>230</c:v>
                </c:pt>
                <c:pt idx="422">
                  <c:v>239</c:v>
                </c:pt>
                <c:pt idx="423">
                  <c:v>226</c:v>
                </c:pt>
                <c:pt idx="424">
                  <c:v>230</c:v>
                </c:pt>
                <c:pt idx="425">
                  <c:v>230</c:v>
                </c:pt>
                <c:pt idx="426">
                  <c:v>235</c:v>
                </c:pt>
                <c:pt idx="427">
                  <c:v>254</c:v>
                </c:pt>
                <c:pt idx="428">
                  <c:v>288</c:v>
                </c:pt>
                <c:pt idx="429">
                  <c:v>287</c:v>
                </c:pt>
                <c:pt idx="430">
                  <c:v>276</c:v>
                </c:pt>
                <c:pt idx="431">
                  <c:v>242</c:v>
                </c:pt>
                <c:pt idx="432">
                  <c:v>264</c:v>
                </c:pt>
                <c:pt idx="433">
                  <c:v>261</c:v>
                </c:pt>
                <c:pt idx="434">
                  <c:v>181</c:v>
                </c:pt>
                <c:pt idx="435">
                  <c:v>202</c:v>
                </c:pt>
                <c:pt idx="436">
                  <c:v>243</c:v>
                </c:pt>
                <c:pt idx="437">
                  <c:v>260</c:v>
                </c:pt>
                <c:pt idx="438">
                  <c:v>301</c:v>
                </c:pt>
                <c:pt idx="439">
                  <c:v>358</c:v>
                </c:pt>
                <c:pt idx="440">
                  <c:v>294</c:v>
                </c:pt>
                <c:pt idx="441">
                  <c:v>336</c:v>
                </c:pt>
                <c:pt idx="442">
                  <c:v>368</c:v>
                </c:pt>
                <c:pt idx="443">
                  <c:v>424</c:v>
                </c:pt>
                <c:pt idx="444">
                  <c:v>457</c:v>
                </c:pt>
                <c:pt idx="445">
                  <c:v>472</c:v>
                </c:pt>
                <c:pt idx="446">
                  <c:v>509</c:v>
                </c:pt>
                <c:pt idx="447">
                  <c:v>468</c:v>
                </c:pt>
                <c:pt idx="448">
                  <c:v>444</c:v>
                </c:pt>
                <c:pt idx="449">
                  <c:v>447</c:v>
                </c:pt>
                <c:pt idx="450">
                  <c:v>369</c:v>
                </c:pt>
                <c:pt idx="451">
                  <c:v>438</c:v>
                </c:pt>
                <c:pt idx="452">
                  <c:v>482</c:v>
                </c:pt>
                <c:pt idx="453">
                  <c:v>400</c:v>
                </c:pt>
                <c:pt idx="454">
                  <c:v>430</c:v>
                </c:pt>
                <c:pt idx="455">
                  <c:v>395</c:v>
                </c:pt>
                <c:pt idx="456">
                  <c:v>420</c:v>
                </c:pt>
                <c:pt idx="457">
                  <c:v>508</c:v>
                </c:pt>
                <c:pt idx="458">
                  <c:v>322</c:v>
                </c:pt>
                <c:pt idx="459">
                  <c:v>369</c:v>
                </c:pt>
                <c:pt idx="460">
                  <c:v>430</c:v>
                </c:pt>
                <c:pt idx="461">
                  <c:v>515</c:v>
                </c:pt>
                <c:pt idx="462">
                  <c:v>499</c:v>
                </c:pt>
                <c:pt idx="463">
                  <c:v>453</c:v>
                </c:pt>
                <c:pt idx="464">
                  <c:v>455</c:v>
                </c:pt>
                <c:pt idx="465">
                  <c:v>466</c:v>
                </c:pt>
                <c:pt idx="466">
                  <c:v>531</c:v>
                </c:pt>
                <c:pt idx="467">
                  <c:v>459</c:v>
                </c:pt>
                <c:pt idx="468">
                  <c:v>477</c:v>
                </c:pt>
                <c:pt idx="469">
                  <c:v>198</c:v>
                </c:pt>
                <c:pt idx="470">
                  <c:v>272</c:v>
                </c:pt>
                <c:pt idx="471">
                  <c:v>257</c:v>
                </c:pt>
                <c:pt idx="472">
                  <c:v>189</c:v>
                </c:pt>
                <c:pt idx="473">
                  <c:v>196</c:v>
                </c:pt>
                <c:pt idx="474">
                  <c:v>228</c:v>
                </c:pt>
                <c:pt idx="475">
                  <c:v>246</c:v>
                </c:pt>
                <c:pt idx="476">
                  <c:v>185</c:v>
                </c:pt>
                <c:pt idx="477">
                  <c:v>188</c:v>
                </c:pt>
                <c:pt idx="478">
                  <c:v>176</c:v>
                </c:pt>
                <c:pt idx="479">
                  <c:v>49</c:v>
                </c:pt>
                <c:pt idx="480">
                  <c:v>53</c:v>
                </c:pt>
                <c:pt idx="481">
                  <c:v>51</c:v>
                </c:pt>
                <c:pt idx="482">
                  <c:v>75</c:v>
                </c:pt>
                <c:pt idx="483">
                  <c:v>97</c:v>
                </c:pt>
                <c:pt idx="484">
                  <c:v>64</c:v>
                </c:pt>
                <c:pt idx="485">
                  <c:v>118</c:v>
                </c:pt>
                <c:pt idx="486">
                  <c:v>152</c:v>
                </c:pt>
                <c:pt idx="487">
                  <c:v>196</c:v>
                </c:pt>
                <c:pt idx="488">
                  <c:v>162</c:v>
                </c:pt>
                <c:pt idx="489">
                  <c:v>124</c:v>
                </c:pt>
                <c:pt idx="490">
                  <c:v>107</c:v>
                </c:pt>
                <c:pt idx="491">
                  <c:v>103</c:v>
                </c:pt>
                <c:pt idx="492">
                  <c:v>82</c:v>
                </c:pt>
                <c:pt idx="493">
                  <c:v>196</c:v>
                </c:pt>
                <c:pt idx="494">
                  <c:v>228</c:v>
                </c:pt>
                <c:pt idx="495">
                  <c:v>246</c:v>
                </c:pt>
                <c:pt idx="496">
                  <c:v>185</c:v>
                </c:pt>
                <c:pt idx="497">
                  <c:v>188</c:v>
                </c:pt>
                <c:pt idx="498">
                  <c:v>176</c:v>
                </c:pt>
                <c:pt idx="499">
                  <c:v>157</c:v>
                </c:pt>
                <c:pt idx="500">
                  <c:v>181</c:v>
                </c:pt>
                <c:pt idx="501">
                  <c:v>173</c:v>
                </c:pt>
                <c:pt idx="502">
                  <c:v>160</c:v>
                </c:pt>
                <c:pt idx="503">
                  <c:v>226</c:v>
                </c:pt>
                <c:pt idx="504">
                  <c:v>232</c:v>
                </c:pt>
                <c:pt idx="505">
                  <c:v>233</c:v>
                </c:pt>
                <c:pt idx="506">
                  <c:v>230</c:v>
                </c:pt>
                <c:pt idx="507">
                  <c:v>208</c:v>
                </c:pt>
                <c:pt idx="508">
                  <c:v>235</c:v>
                </c:pt>
                <c:pt idx="509">
                  <c:v>124</c:v>
                </c:pt>
                <c:pt idx="510">
                  <c:v>107</c:v>
                </c:pt>
                <c:pt idx="511">
                  <c:v>103</c:v>
                </c:pt>
                <c:pt idx="512">
                  <c:v>82</c:v>
                </c:pt>
                <c:pt idx="513">
                  <c:v>196</c:v>
                </c:pt>
                <c:pt idx="514">
                  <c:v>228</c:v>
                </c:pt>
                <c:pt idx="515">
                  <c:v>246</c:v>
                </c:pt>
                <c:pt idx="516">
                  <c:v>185</c:v>
                </c:pt>
                <c:pt idx="517">
                  <c:v>188</c:v>
                </c:pt>
                <c:pt idx="518">
                  <c:v>176</c:v>
                </c:pt>
                <c:pt idx="519">
                  <c:v>157</c:v>
                </c:pt>
                <c:pt idx="520">
                  <c:v>181</c:v>
                </c:pt>
                <c:pt idx="521">
                  <c:v>173</c:v>
                </c:pt>
                <c:pt idx="522">
                  <c:v>160</c:v>
                </c:pt>
                <c:pt idx="523">
                  <c:v>226</c:v>
                </c:pt>
                <c:pt idx="524">
                  <c:v>232</c:v>
                </c:pt>
                <c:pt idx="525">
                  <c:v>233</c:v>
                </c:pt>
                <c:pt idx="526">
                  <c:v>230</c:v>
                </c:pt>
                <c:pt idx="527">
                  <c:v>208</c:v>
                </c:pt>
                <c:pt idx="528">
                  <c:v>235</c:v>
                </c:pt>
                <c:pt idx="529">
                  <c:v>53</c:v>
                </c:pt>
                <c:pt idx="530">
                  <c:v>51</c:v>
                </c:pt>
                <c:pt idx="531">
                  <c:v>75</c:v>
                </c:pt>
                <c:pt idx="532">
                  <c:v>97</c:v>
                </c:pt>
                <c:pt idx="533">
                  <c:v>64</c:v>
                </c:pt>
                <c:pt idx="534">
                  <c:v>118</c:v>
                </c:pt>
                <c:pt idx="535">
                  <c:v>152</c:v>
                </c:pt>
                <c:pt idx="536">
                  <c:v>196</c:v>
                </c:pt>
                <c:pt idx="537">
                  <c:v>162</c:v>
                </c:pt>
                <c:pt idx="538">
                  <c:v>124</c:v>
                </c:pt>
                <c:pt idx="539">
                  <c:v>107</c:v>
                </c:pt>
                <c:pt idx="540">
                  <c:v>103</c:v>
                </c:pt>
                <c:pt idx="541">
                  <c:v>82</c:v>
                </c:pt>
                <c:pt idx="542">
                  <c:v>80</c:v>
                </c:pt>
                <c:pt idx="543">
                  <c:v>83</c:v>
                </c:pt>
                <c:pt idx="544">
                  <c:v>60</c:v>
                </c:pt>
                <c:pt idx="545">
                  <c:v>73</c:v>
                </c:pt>
                <c:pt idx="546">
                  <c:v>70</c:v>
                </c:pt>
                <c:pt idx="547">
                  <c:v>66</c:v>
                </c:pt>
                <c:pt idx="548">
                  <c:v>156</c:v>
                </c:pt>
                <c:pt idx="549">
                  <c:v>170</c:v>
                </c:pt>
                <c:pt idx="550">
                  <c:v>122</c:v>
                </c:pt>
                <c:pt idx="551">
                  <c:v>162</c:v>
                </c:pt>
                <c:pt idx="552">
                  <c:v>304</c:v>
                </c:pt>
                <c:pt idx="553">
                  <c:v>294</c:v>
                </c:pt>
                <c:pt idx="554">
                  <c:v>255</c:v>
                </c:pt>
                <c:pt idx="555">
                  <c:v>412</c:v>
                </c:pt>
                <c:pt idx="556">
                  <c:v>285</c:v>
                </c:pt>
                <c:pt idx="557">
                  <c:v>310</c:v>
                </c:pt>
                <c:pt idx="558">
                  <c:v>287</c:v>
                </c:pt>
                <c:pt idx="559">
                  <c:v>337</c:v>
                </c:pt>
                <c:pt idx="560">
                  <c:v>253</c:v>
                </c:pt>
                <c:pt idx="561">
                  <c:v>353</c:v>
                </c:pt>
                <c:pt idx="562">
                  <c:v>326</c:v>
                </c:pt>
                <c:pt idx="563">
                  <c:v>315</c:v>
                </c:pt>
                <c:pt idx="564">
                  <c:v>243</c:v>
                </c:pt>
                <c:pt idx="565">
                  <c:v>283</c:v>
                </c:pt>
                <c:pt idx="566">
                  <c:v>245</c:v>
                </c:pt>
                <c:pt idx="567">
                  <c:v>230</c:v>
                </c:pt>
                <c:pt idx="568">
                  <c:v>330</c:v>
                </c:pt>
                <c:pt idx="569">
                  <c:v>306</c:v>
                </c:pt>
                <c:pt idx="570">
                  <c:v>280</c:v>
                </c:pt>
                <c:pt idx="571">
                  <c:v>367</c:v>
                </c:pt>
                <c:pt idx="572">
                  <c:v>272</c:v>
                </c:pt>
                <c:pt idx="573">
                  <c:v>297</c:v>
                </c:pt>
                <c:pt idx="574">
                  <c:v>283</c:v>
                </c:pt>
                <c:pt idx="575">
                  <c:v>214</c:v>
                </c:pt>
                <c:pt idx="576">
                  <c:v>212</c:v>
                </c:pt>
                <c:pt idx="577">
                  <c:v>209</c:v>
                </c:pt>
                <c:pt idx="578">
                  <c:v>203</c:v>
                </c:pt>
                <c:pt idx="579">
                  <c:v>210</c:v>
                </c:pt>
                <c:pt idx="580">
                  <c:v>219</c:v>
                </c:pt>
                <c:pt idx="581">
                  <c:v>245</c:v>
                </c:pt>
                <c:pt idx="582">
                  <c:v>235</c:v>
                </c:pt>
                <c:pt idx="583">
                  <c:v>139</c:v>
                </c:pt>
                <c:pt idx="584">
                  <c:v>232</c:v>
                </c:pt>
                <c:pt idx="585">
                  <c:v>256</c:v>
                </c:pt>
                <c:pt idx="586">
                  <c:v>245</c:v>
                </c:pt>
                <c:pt idx="587">
                  <c:v>209</c:v>
                </c:pt>
                <c:pt idx="588">
                  <c:v>171</c:v>
                </c:pt>
                <c:pt idx="589">
                  <c:v>246</c:v>
                </c:pt>
                <c:pt idx="590">
                  <c:v>276</c:v>
                </c:pt>
                <c:pt idx="591">
                  <c:v>277</c:v>
                </c:pt>
                <c:pt idx="592">
                  <c:v>272</c:v>
                </c:pt>
                <c:pt idx="593">
                  <c:v>313</c:v>
                </c:pt>
                <c:pt idx="594">
                  <c:v>294</c:v>
                </c:pt>
                <c:pt idx="595">
                  <c:v>280</c:v>
                </c:pt>
                <c:pt idx="596">
                  <c:v>220</c:v>
                </c:pt>
                <c:pt idx="597">
                  <c:v>276</c:v>
                </c:pt>
                <c:pt idx="598">
                  <c:v>230</c:v>
                </c:pt>
                <c:pt idx="599">
                  <c:v>285</c:v>
                </c:pt>
                <c:pt idx="600">
                  <c:v>208</c:v>
                </c:pt>
                <c:pt idx="601">
                  <c:v>214</c:v>
                </c:pt>
                <c:pt idx="602">
                  <c:v>227</c:v>
                </c:pt>
                <c:pt idx="603">
                  <c:v>158</c:v>
                </c:pt>
                <c:pt idx="604">
                  <c:v>216</c:v>
                </c:pt>
                <c:pt idx="605">
                  <c:v>239</c:v>
                </c:pt>
                <c:pt idx="606">
                  <c:v>190</c:v>
                </c:pt>
                <c:pt idx="607">
                  <c:v>162</c:v>
                </c:pt>
                <c:pt idx="608">
                  <c:v>215</c:v>
                </c:pt>
                <c:pt idx="609">
                  <c:v>314</c:v>
                </c:pt>
                <c:pt idx="610">
                  <c:v>285</c:v>
                </c:pt>
                <c:pt idx="611">
                  <c:v>213</c:v>
                </c:pt>
                <c:pt idx="612">
                  <c:v>199</c:v>
                </c:pt>
                <c:pt idx="613">
                  <c:v>225</c:v>
                </c:pt>
                <c:pt idx="614">
                  <c:v>259</c:v>
                </c:pt>
                <c:pt idx="615">
                  <c:v>203</c:v>
                </c:pt>
                <c:pt idx="616">
                  <c:v>234</c:v>
                </c:pt>
                <c:pt idx="617">
                  <c:v>196</c:v>
                </c:pt>
                <c:pt idx="618">
                  <c:v>53</c:v>
                </c:pt>
                <c:pt idx="619">
                  <c:v>51</c:v>
                </c:pt>
                <c:pt idx="620">
                  <c:v>75</c:v>
                </c:pt>
                <c:pt idx="621">
                  <c:v>97</c:v>
                </c:pt>
                <c:pt idx="622">
                  <c:v>64</c:v>
                </c:pt>
                <c:pt idx="623">
                  <c:v>118</c:v>
                </c:pt>
                <c:pt idx="624">
                  <c:v>152</c:v>
                </c:pt>
                <c:pt idx="625">
                  <c:v>196</c:v>
                </c:pt>
                <c:pt idx="626">
                  <c:v>162</c:v>
                </c:pt>
                <c:pt idx="627">
                  <c:v>124</c:v>
                </c:pt>
                <c:pt idx="628">
                  <c:v>107</c:v>
                </c:pt>
                <c:pt idx="629">
                  <c:v>103</c:v>
                </c:pt>
                <c:pt idx="630">
                  <c:v>82</c:v>
                </c:pt>
                <c:pt idx="631">
                  <c:v>80</c:v>
                </c:pt>
                <c:pt idx="632">
                  <c:v>83</c:v>
                </c:pt>
                <c:pt idx="633">
                  <c:v>60</c:v>
                </c:pt>
                <c:pt idx="634">
                  <c:v>73</c:v>
                </c:pt>
                <c:pt idx="635">
                  <c:v>70</c:v>
                </c:pt>
                <c:pt idx="636">
                  <c:v>66</c:v>
                </c:pt>
                <c:pt idx="637">
                  <c:v>156</c:v>
                </c:pt>
                <c:pt idx="638">
                  <c:v>170</c:v>
                </c:pt>
                <c:pt idx="639">
                  <c:v>122</c:v>
                </c:pt>
                <c:pt idx="640">
                  <c:v>162</c:v>
                </c:pt>
                <c:pt idx="641">
                  <c:v>304</c:v>
                </c:pt>
                <c:pt idx="642">
                  <c:v>294</c:v>
                </c:pt>
                <c:pt idx="643">
                  <c:v>255</c:v>
                </c:pt>
                <c:pt idx="644">
                  <c:v>412</c:v>
                </c:pt>
                <c:pt idx="645">
                  <c:v>285</c:v>
                </c:pt>
                <c:pt idx="646">
                  <c:v>310</c:v>
                </c:pt>
                <c:pt idx="647">
                  <c:v>287</c:v>
                </c:pt>
                <c:pt idx="648">
                  <c:v>337</c:v>
                </c:pt>
                <c:pt idx="649">
                  <c:v>253</c:v>
                </c:pt>
                <c:pt idx="650">
                  <c:v>353</c:v>
                </c:pt>
                <c:pt idx="651">
                  <c:v>326</c:v>
                </c:pt>
                <c:pt idx="652">
                  <c:v>315</c:v>
                </c:pt>
                <c:pt idx="653">
                  <c:v>243</c:v>
                </c:pt>
                <c:pt idx="654">
                  <c:v>283</c:v>
                </c:pt>
                <c:pt idx="655">
                  <c:v>245</c:v>
                </c:pt>
                <c:pt idx="656">
                  <c:v>230</c:v>
                </c:pt>
                <c:pt idx="657">
                  <c:v>330</c:v>
                </c:pt>
                <c:pt idx="658">
                  <c:v>306</c:v>
                </c:pt>
                <c:pt idx="659">
                  <c:v>280</c:v>
                </c:pt>
                <c:pt idx="660">
                  <c:v>367</c:v>
                </c:pt>
                <c:pt idx="661">
                  <c:v>272</c:v>
                </c:pt>
                <c:pt idx="662">
                  <c:v>297</c:v>
                </c:pt>
                <c:pt idx="663">
                  <c:v>283</c:v>
                </c:pt>
                <c:pt idx="664">
                  <c:v>214</c:v>
                </c:pt>
                <c:pt idx="665">
                  <c:v>212</c:v>
                </c:pt>
                <c:pt idx="666">
                  <c:v>209</c:v>
                </c:pt>
                <c:pt idx="667">
                  <c:v>203</c:v>
                </c:pt>
                <c:pt idx="668">
                  <c:v>210</c:v>
                </c:pt>
                <c:pt idx="669">
                  <c:v>219</c:v>
                </c:pt>
                <c:pt idx="670">
                  <c:v>245</c:v>
                </c:pt>
                <c:pt idx="671">
                  <c:v>235</c:v>
                </c:pt>
                <c:pt idx="672">
                  <c:v>139</c:v>
                </c:pt>
                <c:pt idx="673">
                  <c:v>232</c:v>
                </c:pt>
                <c:pt idx="674">
                  <c:v>256</c:v>
                </c:pt>
                <c:pt idx="675">
                  <c:v>245</c:v>
                </c:pt>
                <c:pt idx="676">
                  <c:v>209</c:v>
                </c:pt>
                <c:pt idx="677">
                  <c:v>171</c:v>
                </c:pt>
                <c:pt idx="678">
                  <c:v>246</c:v>
                </c:pt>
                <c:pt idx="679">
                  <c:v>276</c:v>
                </c:pt>
                <c:pt idx="680">
                  <c:v>277</c:v>
                </c:pt>
                <c:pt idx="681">
                  <c:v>272</c:v>
                </c:pt>
                <c:pt idx="682">
                  <c:v>313</c:v>
                </c:pt>
                <c:pt idx="683">
                  <c:v>294</c:v>
                </c:pt>
                <c:pt idx="684">
                  <c:v>280</c:v>
                </c:pt>
                <c:pt idx="685">
                  <c:v>220</c:v>
                </c:pt>
                <c:pt idx="686">
                  <c:v>276</c:v>
                </c:pt>
                <c:pt idx="687">
                  <c:v>230</c:v>
                </c:pt>
                <c:pt idx="688">
                  <c:v>285</c:v>
                </c:pt>
                <c:pt idx="689">
                  <c:v>208</c:v>
                </c:pt>
                <c:pt idx="690">
                  <c:v>214</c:v>
                </c:pt>
                <c:pt idx="691">
                  <c:v>227</c:v>
                </c:pt>
                <c:pt idx="692">
                  <c:v>158</c:v>
                </c:pt>
                <c:pt idx="693">
                  <c:v>216</c:v>
                </c:pt>
                <c:pt idx="694">
                  <c:v>239</c:v>
                </c:pt>
                <c:pt idx="695">
                  <c:v>190</c:v>
                </c:pt>
                <c:pt idx="696">
                  <c:v>162</c:v>
                </c:pt>
                <c:pt idx="697">
                  <c:v>215</c:v>
                </c:pt>
                <c:pt idx="698">
                  <c:v>314</c:v>
                </c:pt>
                <c:pt idx="699">
                  <c:v>285</c:v>
                </c:pt>
                <c:pt idx="700">
                  <c:v>213</c:v>
                </c:pt>
                <c:pt idx="701">
                  <c:v>199</c:v>
                </c:pt>
                <c:pt idx="702">
                  <c:v>225</c:v>
                </c:pt>
                <c:pt idx="703">
                  <c:v>259</c:v>
                </c:pt>
                <c:pt idx="704">
                  <c:v>203</c:v>
                </c:pt>
                <c:pt idx="705">
                  <c:v>234</c:v>
                </c:pt>
                <c:pt idx="706">
                  <c:v>196</c:v>
                </c:pt>
                <c:pt idx="707">
                  <c:v>20</c:v>
                </c:pt>
                <c:pt idx="708">
                  <c:v>22</c:v>
                </c:pt>
                <c:pt idx="709">
                  <c:v>18</c:v>
                </c:pt>
                <c:pt idx="710">
                  <c:v>13</c:v>
                </c:pt>
                <c:pt idx="711">
                  <c:v>32</c:v>
                </c:pt>
                <c:pt idx="712">
                  <c:v>36</c:v>
                </c:pt>
                <c:pt idx="713">
                  <c:v>54</c:v>
                </c:pt>
                <c:pt idx="714">
                  <c:v>45</c:v>
                </c:pt>
                <c:pt idx="715">
                  <c:v>22</c:v>
                </c:pt>
                <c:pt idx="716">
                  <c:v>42</c:v>
                </c:pt>
                <c:pt idx="717">
                  <c:v>50</c:v>
                </c:pt>
                <c:pt idx="718">
                  <c:v>49</c:v>
                </c:pt>
                <c:pt idx="71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8-4127-84AC-DD86CFE74B1A}"/>
            </c:ext>
          </c:extLst>
        </c:ser>
        <c:ser>
          <c:idx val="1"/>
          <c:order val="1"/>
          <c:tx>
            <c:strRef>
              <c:f>HHS_Unaccompanied_Alien_Childre!$F$1</c:f>
              <c:strCache>
                <c:ptCount val="1"/>
                <c:pt idx="0">
                  <c:v>Children in HHS Care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A2:A721</c:v>
              </c:pt>
            </c:strLit>
          </c:cat>
          <c:val>
            <c:numRef>
              <c:f>HHS_Unaccompanied_Alien_Childre!$F$2:$F$721</c:f>
              <c:numCache>
                <c:formatCode>#,##0</c:formatCode>
                <c:ptCount val="720"/>
                <c:pt idx="0">
                  <c:v>2484</c:v>
                </c:pt>
                <c:pt idx="1">
                  <c:v>2472</c:v>
                </c:pt>
                <c:pt idx="2">
                  <c:v>2481</c:v>
                </c:pt>
                <c:pt idx="3">
                  <c:v>2468</c:v>
                </c:pt>
                <c:pt idx="4">
                  <c:v>2470</c:v>
                </c:pt>
                <c:pt idx="5">
                  <c:v>2462</c:v>
                </c:pt>
                <c:pt idx="6">
                  <c:v>2437</c:v>
                </c:pt>
                <c:pt idx="7">
                  <c:v>2439</c:v>
                </c:pt>
                <c:pt idx="8">
                  <c:v>2443</c:v>
                </c:pt>
                <c:pt idx="9">
                  <c:v>2440</c:v>
                </c:pt>
                <c:pt idx="10">
                  <c:v>2429</c:v>
                </c:pt>
                <c:pt idx="11">
                  <c:v>2418</c:v>
                </c:pt>
                <c:pt idx="12">
                  <c:v>2419</c:v>
                </c:pt>
                <c:pt idx="13">
                  <c:v>2407</c:v>
                </c:pt>
                <c:pt idx="14">
                  <c:v>2410</c:v>
                </c:pt>
                <c:pt idx="15">
                  <c:v>2415</c:v>
                </c:pt>
                <c:pt idx="16">
                  <c:v>2389</c:v>
                </c:pt>
                <c:pt idx="17">
                  <c:v>2375</c:v>
                </c:pt>
                <c:pt idx="18">
                  <c:v>2371</c:v>
                </c:pt>
                <c:pt idx="19">
                  <c:v>2375</c:v>
                </c:pt>
                <c:pt idx="20">
                  <c:v>2340</c:v>
                </c:pt>
                <c:pt idx="21">
                  <c:v>2340</c:v>
                </c:pt>
                <c:pt idx="22">
                  <c:v>2345</c:v>
                </c:pt>
                <c:pt idx="23">
                  <c:v>2343</c:v>
                </c:pt>
                <c:pt idx="24">
                  <c:v>2340</c:v>
                </c:pt>
                <c:pt idx="25">
                  <c:v>2317</c:v>
                </c:pt>
                <c:pt idx="26">
                  <c:v>2302</c:v>
                </c:pt>
                <c:pt idx="27">
                  <c:v>2294</c:v>
                </c:pt>
                <c:pt idx="28">
                  <c:v>2294</c:v>
                </c:pt>
                <c:pt idx="29">
                  <c:v>2264</c:v>
                </c:pt>
                <c:pt idx="30">
                  <c:v>2272</c:v>
                </c:pt>
                <c:pt idx="31">
                  <c:v>2270</c:v>
                </c:pt>
                <c:pt idx="32">
                  <c:v>2269</c:v>
                </c:pt>
                <c:pt idx="33">
                  <c:v>2277</c:v>
                </c:pt>
                <c:pt idx="34">
                  <c:v>2287</c:v>
                </c:pt>
                <c:pt idx="35">
                  <c:v>2280</c:v>
                </c:pt>
                <c:pt idx="36">
                  <c:v>2286</c:v>
                </c:pt>
                <c:pt idx="37">
                  <c:v>2282</c:v>
                </c:pt>
                <c:pt idx="38">
                  <c:v>2276</c:v>
                </c:pt>
                <c:pt idx="39">
                  <c:v>2266</c:v>
                </c:pt>
                <c:pt idx="40">
                  <c:v>2261</c:v>
                </c:pt>
                <c:pt idx="41">
                  <c:v>2251</c:v>
                </c:pt>
                <c:pt idx="42">
                  <c:v>2243</c:v>
                </c:pt>
                <c:pt idx="43">
                  <c:v>2237</c:v>
                </c:pt>
                <c:pt idx="44">
                  <c:v>2233</c:v>
                </c:pt>
                <c:pt idx="45">
                  <c:v>2225</c:v>
                </c:pt>
                <c:pt idx="46">
                  <c:v>2235</c:v>
                </c:pt>
                <c:pt idx="47">
                  <c:v>2223</c:v>
                </c:pt>
                <c:pt idx="48">
                  <c:v>2192</c:v>
                </c:pt>
                <c:pt idx="49">
                  <c:v>2192</c:v>
                </c:pt>
                <c:pt idx="50">
                  <c:v>2189</c:v>
                </c:pt>
                <c:pt idx="51">
                  <c:v>2187</c:v>
                </c:pt>
                <c:pt idx="52">
                  <c:v>2180</c:v>
                </c:pt>
                <c:pt idx="53">
                  <c:v>2164</c:v>
                </c:pt>
                <c:pt idx="54">
                  <c:v>2163</c:v>
                </c:pt>
                <c:pt idx="55">
                  <c:v>2159</c:v>
                </c:pt>
                <c:pt idx="56">
                  <c:v>2148</c:v>
                </c:pt>
                <c:pt idx="57">
                  <c:v>2146</c:v>
                </c:pt>
                <c:pt idx="58">
                  <c:v>2132</c:v>
                </c:pt>
                <c:pt idx="59">
                  <c:v>2138</c:v>
                </c:pt>
                <c:pt idx="60">
                  <c:v>2145</c:v>
                </c:pt>
                <c:pt idx="61">
                  <c:v>2141</c:v>
                </c:pt>
                <c:pt idx="62">
                  <c:v>2134</c:v>
                </c:pt>
                <c:pt idx="63">
                  <c:v>2096</c:v>
                </c:pt>
                <c:pt idx="64">
                  <c:v>2096</c:v>
                </c:pt>
                <c:pt idx="65">
                  <c:v>2095</c:v>
                </c:pt>
                <c:pt idx="66">
                  <c:v>2086</c:v>
                </c:pt>
                <c:pt idx="67">
                  <c:v>2083</c:v>
                </c:pt>
                <c:pt idx="68">
                  <c:v>2047</c:v>
                </c:pt>
                <c:pt idx="69">
                  <c:v>2025</c:v>
                </c:pt>
                <c:pt idx="70">
                  <c:v>2023</c:v>
                </c:pt>
                <c:pt idx="71">
                  <c:v>2025</c:v>
                </c:pt>
                <c:pt idx="72">
                  <c:v>2026</c:v>
                </c:pt>
                <c:pt idx="73">
                  <c:v>2015</c:v>
                </c:pt>
                <c:pt idx="74">
                  <c:v>2019</c:v>
                </c:pt>
                <c:pt idx="75">
                  <c:v>2020</c:v>
                </c:pt>
                <c:pt idx="76">
                  <c:v>2010</c:v>
                </c:pt>
                <c:pt idx="77">
                  <c:v>1984</c:v>
                </c:pt>
                <c:pt idx="78">
                  <c:v>1988</c:v>
                </c:pt>
                <c:pt idx="79">
                  <c:v>1989</c:v>
                </c:pt>
                <c:pt idx="80">
                  <c:v>1980</c:v>
                </c:pt>
                <c:pt idx="81">
                  <c:v>1981</c:v>
                </c:pt>
                <c:pt idx="82">
                  <c:v>1972</c:v>
                </c:pt>
                <c:pt idx="83">
                  <c:v>1983</c:v>
                </c:pt>
                <c:pt idx="84">
                  <c:v>1980</c:v>
                </c:pt>
                <c:pt idx="85">
                  <c:v>1985</c:v>
                </c:pt>
                <c:pt idx="86">
                  <c:v>1991</c:v>
                </c:pt>
                <c:pt idx="87">
                  <c:v>1994</c:v>
                </c:pt>
                <c:pt idx="88">
                  <c:v>1997</c:v>
                </c:pt>
                <c:pt idx="89">
                  <c:v>1999</c:v>
                </c:pt>
                <c:pt idx="90">
                  <c:v>1999</c:v>
                </c:pt>
                <c:pt idx="91">
                  <c:v>2006</c:v>
                </c:pt>
                <c:pt idx="92">
                  <c:v>2031</c:v>
                </c:pt>
                <c:pt idx="93">
                  <c:v>2036</c:v>
                </c:pt>
                <c:pt idx="94">
                  <c:v>2042</c:v>
                </c:pt>
                <c:pt idx="95">
                  <c:v>2040</c:v>
                </c:pt>
                <c:pt idx="96">
                  <c:v>2049</c:v>
                </c:pt>
                <c:pt idx="97">
                  <c:v>2058</c:v>
                </c:pt>
                <c:pt idx="98">
                  <c:v>2063</c:v>
                </c:pt>
                <c:pt idx="99">
                  <c:v>2072</c:v>
                </c:pt>
                <c:pt idx="100">
                  <c:v>2080</c:v>
                </c:pt>
                <c:pt idx="101">
                  <c:v>2088</c:v>
                </c:pt>
                <c:pt idx="102">
                  <c:v>2096</c:v>
                </c:pt>
                <c:pt idx="103">
                  <c:v>2111</c:v>
                </c:pt>
                <c:pt idx="104">
                  <c:v>2117</c:v>
                </c:pt>
                <c:pt idx="105">
                  <c:v>2121</c:v>
                </c:pt>
                <c:pt idx="106">
                  <c:v>2153</c:v>
                </c:pt>
                <c:pt idx="107">
                  <c:v>2164</c:v>
                </c:pt>
                <c:pt idx="108">
                  <c:v>2171</c:v>
                </c:pt>
                <c:pt idx="109">
                  <c:v>2181</c:v>
                </c:pt>
                <c:pt idx="110">
                  <c:v>2204</c:v>
                </c:pt>
                <c:pt idx="111">
                  <c:v>2252</c:v>
                </c:pt>
                <c:pt idx="112">
                  <c:v>2281</c:v>
                </c:pt>
                <c:pt idx="113">
                  <c:v>2306</c:v>
                </c:pt>
                <c:pt idx="114">
                  <c:v>2317</c:v>
                </c:pt>
                <c:pt idx="115">
                  <c:v>2332</c:v>
                </c:pt>
                <c:pt idx="116">
                  <c:v>2373</c:v>
                </c:pt>
                <c:pt idx="117">
                  <c:v>2391</c:v>
                </c:pt>
                <c:pt idx="118">
                  <c:v>2407</c:v>
                </c:pt>
                <c:pt idx="119">
                  <c:v>2413</c:v>
                </c:pt>
                <c:pt idx="120">
                  <c:v>2447</c:v>
                </c:pt>
                <c:pt idx="121">
                  <c:v>2470</c:v>
                </c:pt>
                <c:pt idx="122">
                  <c:v>2489</c:v>
                </c:pt>
                <c:pt idx="123">
                  <c:v>2495</c:v>
                </c:pt>
                <c:pt idx="124">
                  <c:v>2508</c:v>
                </c:pt>
                <c:pt idx="125">
                  <c:v>2501</c:v>
                </c:pt>
                <c:pt idx="126">
                  <c:v>2523</c:v>
                </c:pt>
                <c:pt idx="127">
                  <c:v>2511</c:v>
                </c:pt>
                <c:pt idx="128">
                  <c:v>2516</c:v>
                </c:pt>
                <c:pt idx="129">
                  <c:v>2507</c:v>
                </c:pt>
                <c:pt idx="130">
                  <c:v>2503</c:v>
                </c:pt>
                <c:pt idx="131">
                  <c:v>2516</c:v>
                </c:pt>
                <c:pt idx="132">
                  <c:v>2519</c:v>
                </c:pt>
                <c:pt idx="133">
                  <c:v>2518</c:v>
                </c:pt>
                <c:pt idx="134">
                  <c:v>2528</c:v>
                </c:pt>
                <c:pt idx="135">
                  <c:v>2506</c:v>
                </c:pt>
                <c:pt idx="136">
                  <c:v>2499</c:v>
                </c:pt>
                <c:pt idx="137">
                  <c:v>2504</c:v>
                </c:pt>
                <c:pt idx="138">
                  <c:v>2473</c:v>
                </c:pt>
                <c:pt idx="139">
                  <c:v>2467</c:v>
                </c:pt>
                <c:pt idx="140">
                  <c:v>2457</c:v>
                </c:pt>
                <c:pt idx="141">
                  <c:v>2437</c:v>
                </c:pt>
                <c:pt idx="142">
                  <c:v>2410</c:v>
                </c:pt>
                <c:pt idx="143">
                  <c:v>2394</c:v>
                </c:pt>
                <c:pt idx="144">
                  <c:v>2394</c:v>
                </c:pt>
                <c:pt idx="145">
                  <c:v>2392</c:v>
                </c:pt>
                <c:pt idx="146">
                  <c:v>2385</c:v>
                </c:pt>
                <c:pt idx="147">
                  <c:v>2361</c:v>
                </c:pt>
                <c:pt idx="148">
                  <c:v>2335</c:v>
                </c:pt>
                <c:pt idx="149">
                  <c:v>2339</c:v>
                </c:pt>
                <c:pt idx="150">
                  <c:v>2331</c:v>
                </c:pt>
                <c:pt idx="151">
                  <c:v>2335</c:v>
                </c:pt>
                <c:pt idx="152">
                  <c:v>2306</c:v>
                </c:pt>
                <c:pt idx="153">
                  <c:v>2309</c:v>
                </c:pt>
                <c:pt idx="154">
                  <c:v>2304</c:v>
                </c:pt>
                <c:pt idx="155">
                  <c:v>2307</c:v>
                </c:pt>
                <c:pt idx="156">
                  <c:v>2301</c:v>
                </c:pt>
                <c:pt idx="157">
                  <c:v>2294</c:v>
                </c:pt>
                <c:pt idx="158">
                  <c:v>2300</c:v>
                </c:pt>
                <c:pt idx="159">
                  <c:v>2305</c:v>
                </c:pt>
                <c:pt idx="160">
                  <c:v>2308</c:v>
                </c:pt>
                <c:pt idx="161">
                  <c:v>2305</c:v>
                </c:pt>
                <c:pt idx="162">
                  <c:v>2288</c:v>
                </c:pt>
                <c:pt idx="163">
                  <c:v>2291</c:v>
                </c:pt>
                <c:pt idx="164">
                  <c:v>2286</c:v>
                </c:pt>
                <c:pt idx="165">
                  <c:v>2282</c:v>
                </c:pt>
                <c:pt idx="166">
                  <c:v>2283</c:v>
                </c:pt>
                <c:pt idx="167">
                  <c:v>2267</c:v>
                </c:pt>
                <c:pt idx="168">
                  <c:v>2265</c:v>
                </c:pt>
                <c:pt idx="169">
                  <c:v>2251</c:v>
                </c:pt>
                <c:pt idx="170">
                  <c:v>2243</c:v>
                </c:pt>
                <c:pt idx="171">
                  <c:v>2237</c:v>
                </c:pt>
                <c:pt idx="172">
                  <c:v>2234</c:v>
                </c:pt>
                <c:pt idx="173">
                  <c:v>2223</c:v>
                </c:pt>
                <c:pt idx="174">
                  <c:v>2208</c:v>
                </c:pt>
                <c:pt idx="175">
                  <c:v>2191</c:v>
                </c:pt>
                <c:pt idx="176">
                  <c:v>2193</c:v>
                </c:pt>
                <c:pt idx="177">
                  <c:v>2188</c:v>
                </c:pt>
                <c:pt idx="178">
                  <c:v>2159</c:v>
                </c:pt>
                <c:pt idx="179">
                  <c:v>2159</c:v>
                </c:pt>
                <c:pt idx="180">
                  <c:v>2145</c:v>
                </c:pt>
                <c:pt idx="181">
                  <c:v>2139</c:v>
                </c:pt>
                <c:pt idx="182">
                  <c:v>2136</c:v>
                </c:pt>
                <c:pt idx="183">
                  <c:v>2124</c:v>
                </c:pt>
                <c:pt idx="184">
                  <c:v>2119</c:v>
                </c:pt>
                <c:pt idx="185">
                  <c:v>2109</c:v>
                </c:pt>
                <c:pt idx="186">
                  <c:v>2111</c:v>
                </c:pt>
                <c:pt idx="187">
                  <c:v>2117</c:v>
                </c:pt>
                <c:pt idx="188">
                  <c:v>2116</c:v>
                </c:pt>
                <c:pt idx="189">
                  <c:v>2113</c:v>
                </c:pt>
                <c:pt idx="190">
                  <c:v>2116</c:v>
                </c:pt>
                <c:pt idx="191">
                  <c:v>2125</c:v>
                </c:pt>
                <c:pt idx="192">
                  <c:v>2137</c:v>
                </c:pt>
                <c:pt idx="193">
                  <c:v>2218</c:v>
                </c:pt>
                <c:pt idx="194">
                  <c:v>2238</c:v>
                </c:pt>
                <c:pt idx="195">
                  <c:v>2272</c:v>
                </c:pt>
                <c:pt idx="196">
                  <c:v>2287</c:v>
                </c:pt>
                <c:pt idx="197">
                  <c:v>2297</c:v>
                </c:pt>
                <c:pt idx="198">
                  <c:v>2391</c:v>
                </c:pt>
                <c:pt idx="199">
                  <c:v>2411</c:v>
                </c:pt>
                <c:pt idx="200">
                  <c:v>2413</c:v>
                </c:pt>
                <c:pt idx="201">
                  <c:v>2413</c:v>
                </c:pt>
                <c:pt idx="202">
                  <c:v>2423</c:v>
                </c:pt>
                <c:pt idx="203">
                  <c:v>2520</c:v>
                </c:pt>
                <c:pt idx="204">
                  <c:v>2528</c:v>
                </c:pt>
                <c:pt idx="205">
                  <c:v>2536</c:v>
                </c:pt>
                <c:pt idx="206">
                  <c:v>2532</c:v>
                </c:pt>
                <c:pt idx="207">
                  <c:v>2703</c:v>
                </c:pt>
                <c:pt idx="208">
                  <c:v>2752</c:v>
                </c:pt>
                <c:pt idx="209">
                  <c:v>2799</c:v>
                </c:pt>
                <c:pt idx="210">
                  <c:v>2834</c:v>
                </c:pt>
                <c:pt idx="211">
                  <c:v>2878</c:v>
                </c:pt>
                <c:pt idx="212">
                  <c:v>3181</c:v>
                </c:pt>
                <c:pt idx="213">
                  <c:v>3290</c:v>
                </c:pt>
                <c:pt idx="214">
                  <c:v>3359</c:v>
                </c:pt>
                <c:pt idx="215">
                  <c:v>3403</c:v>
                </c:pt>
                <c:pt idx="216">
                  <c:v>3483</c:v>
                </c:pt>
                <c:pt idx="217">
                  <c:v>3923</c:v>
                </c:pt>
                <c:pt idx="218">
                  <c:v>4036</c:v>
                </c:pt>
                <c:pt idx="219">
                  <c:v>4096</c:v>
                </c:pt>
                <c:pt idx="220">
                  <c:v>4161</c:v>
                </c:pt>
                <c:pt idx="221">
                  <c:v>4241</c:v>
                </c:pt>
                <c:pt idx="222">
                  <c:v>4621</c:v>
                </c:pt>
                <c:pt idx="223">
                  <c:v>4717</c:v>
                </c:pt>
                <c:pt idx="224">
                  <c:v>4728</c:v>
                </c:pt>
                <c:pt idx="225">
                  <c:v>4638</c:v>
                </c:pt>
                <c:pt idx="226">
                  <c:v>4628</c:v>
                </c:pt>
                <c:pt idx="227">
                  <c:v>4881</c:v>
                </c:pt>
                <c:pt idx="228">
                  <c:v>4903</c:v>
                </c:pt>
                <c:pt idx="229">
                  <c:v>4957</c:v>
                </c:pt>
                <c:pt idx="230">
                  <c:v>5019</c:v>
                </c:pt>
                <c:pt idx="231">
                  <c:v>5092</c:v>
                </c:pt>
                <c:pt idx="232">
                  <c:v>5507</c:v>
                </c:pt>
                <c:pt idx="233">
                  <c:v>5605</c:v>
                </c:pt>
                <c:pt idx="234">
                  <c:v>5703</c:v>
                </c:pt>
                <c:pt idx="235">
                  <c:v>5769</c:v>
                </c:pt>
                <c:pt idx="236">
                  <c:v>5882</c:v>
                </c:pt>
                <c:pt idx="237">
                  <c:v>6292</c:v>
                </c:pt>
                <c:pt idx="238">
                  <c:v>6405</c:v>
                </c:pt>
                <c:pt idx="239">
                  <c:v>6454</c:v>
                </c:pt>
                <c:pt idx="240">
                  <c:v>6465</c:v>
                </c:pt>
                <c:pt idx="241">
                  <c:v>6707</c:v>
                </c:pt>
                <c:pt idx="242">
                  <c:v>6689</c:v>
                </c:pt>
                <c:pt idx="243">
                  <c:v>6622</c:v>
                </c:pt>
                <c:pt idx="244">
                  <c:v>6548</c:v>
                </c:pt>
                <c:pt idx="245">
                  <c:v>6595</c:v>
                </c:pt>
                <c:pt idx="246">
                  <c:v>6600</c:v>
                </c:pt>
                <c:pt idx="247">
                  <c:v>6598</c:v>
                </c:pt>
                <c:pt idx="248">
                  <c:v>6506</c:v>
                </c:pt>
                <c:pt idx="249">
                  <c:v>6454</c:v>
                </c:pt>
                <c:pt idx="250">
                  <c:v>6408</c:v>
                </c:pt>
                <c:pt idx="251">
                  <c:v>6481</c:v>
                </c:pt>
                <c:pt idx="252">
                  <c:v>6402</c:v>
                </c:pt>
                <c:pt idx="253">
                  <c:v>6310</c:v>
                </c:pt>
                <c:pt idx="254">
                  <c:v>6268</c:v>
                </c:pt>
                <c:pt idx="255">
                  <c:v>6286</c:v>
                </c:pt>
                <c:pt idx="256">
                  <c:v>6310</c:v>
                </c:pt>
                <c:pt idx="257">
                  <c:v>6269</c:v>
                </c:pt>
                <c:pt idx="258">
                  <c:v>6192</c:v>
                </c:pt>
                <c:pt idx="259">
                  <c:v>6061</c:v>
                </c:pt>
                <c:pt idx="260">
                  <c:v>5986</c:v>
                </c:pt>
                <c:pt idx="261">
                  <c:v>5963</c:v>
                </c:pt>
                <c:pt idx="262">
                  <c:v>5862</c:v>
                </c:pt>
                <c:pt idx="263">
                  <c:v>5826</c:v>
                </c:pt>
                <c:pt idx="264">
                  <c:v>5715</c:v>
                </c:pt>
                <c:pt idx="265">
                  <c:v>5664</c:v>
                </c:pt>
                <c:pt idx="266">
                  <c:v>5850</c:v>
                </c:pt>
                <c:pt idx="267">
                  <c:v>5879</c:v>
                </c:pt>
                <c:pt idx="268">
                  <c:v>5844</c:v>
                </c:pt>
                <c:pt idx="269">
                  <c:v>5819</c:v>
                </c:pt>
                <c:pt idx="270">
                  <c:v>5816</c:v>
                </c:pt>
                <c:pt idx="271">
                  <c:v>6025</c:v>
                </c:pt>
                <c:pt idx="272">
                  <c:v>5966</c:v>
                </c:pt>
                <c:pt idx="273">
                  <c:v>5975</c:v>
                </c:pt>
                <c:pt idx="274">
                  <c:v>5963</c:v>
                </c:pt>
                <c:pt idx="275">
                  <c:v>6084</c:v>
                </c:pt>
                <c:pt idx="276">
                  <c:v>6086</c:v>
                </c:pt>
                <c:pt idx="277">
                  <c:v>6045</c:v>
                </c:pt>
                <c:pt idx="278">
                  <c:v>6007</c:v>
                </c:pt>
                <c:pt idx="279">
                  <c:v>5990</c:v>
                </c:pt>
                <c:pt idx="280">
                  <c:v>6148</c:v>
                </c:pt>
                <c:pt idx="281">
                  <c:v>6149</c:v>
                </c:pt>
                <c:pt idx="282">
                  <c:v>6106</c:v>
                </c:pt>
                <c:pt idx="283">
                  <c:v>6008</c:v>
                </c:pt>
                <c:pt idx="284">
                  <c:v>5974</c:v>
                </c:pt>
                <c:pt idx="285">
                  <c:v>6077</c:v>
                </c:pt>
                <c:pt idx="286">
                  <c:v>6043</c:v>
                </c:pt>
                <c:pt idx="287">
                  <c:v>5966</c:v>
                </c:pt>
                <c:pt idx="288">
                  <c:v>5918</c:v>
                </c:pt>
                <c:pt idx="289">
                  <c:v>6076</c:v>
                </c:pt>
                <c:pt idx="290">
                  <c:v>6036</c:v>
                </c:pt>
                <c:pt idx="291">
                  <c:v>6013</c:v>
                </c:pt>
                <c:pt idx="292">
                  <c:v>5935</c:v>
                </c:pt>
                <c:pt idx="293">
                  <c:v>5889</c:v>
                </c:pt>
                <c:pt idx="294">
                  <c:v>6075</c:v>
                </c:pt>
                <c:pt idx="295">
                  <c:v>6047</c:v>
                </c:pt>
                <c:pt idx="296">
                  <c:v>6013</c:v>
                </c:pt>
                <c:pt idx="297">
                  <c:v>5968</c:v>
                </c:pt>
                <c:pt idx="298">
                  <c:v>6118</c:v>
                </c:pt>
                <c:pt idx="299">
                  <c:v>6091</c:v>
                </c:pt>
                <c:pt idx="300">
                  <c:v>6040</c:v>
                </c:pt>
                <c:pt idx="301">
                  <c:v>5967</c:v>
                </c:pt>
                <c:pt idx="302">
                  <c:v>5925</c:v>
                </c:pt>
                <c:pt idx="303">
                  <c:v>6090</c:v>
                </c:pt>
                <c:pt idx="304">
                  <c:v>6050</c:v>
                </c:pt>
                <c:pt idx="305">
                  <c:v>6023</c:v>
                </c:pt>
                <c:pt idx="306">
                  <c:v>6002</c:v>
                </c:pt>
                <c:pt idx="307">
                  <c:v>5989</c:v>
                </c:pt>
                <c:pt idx="308">
                  <c:v>6270</c:v>
                </c:pt>
                <c:pt idx="309">
                  <c:v>6245</c:v>
                </c:pt>
                <c:pt idx="310">
                  <c:v>6227</c:v>
                </c:pt>
                <c:pt idx="311">
                  <c:v>6229</c:v>
                </c:pt>
                <c:pt idx="312">
                  <c:v>6234</c:v>
                </c:pt>
                <c:pt idx="313">
                  <c:v>6326</c:v>
                </c:pt>
                <c:pt idx="314">
                  <c:v>6360</c:v>
                </c:pt>
                <c:pt idx="315">
                  <c:v>6410</c:v>
                </c:pt>
                <c:pt idx="316">
                  <c:v>6396</c:v>
                </c:pt>
                <c:pt idx="317">
                  <c:v>6353</c:v>
                </c:pt>
                <c:pt idx="318">
                  <c:v>6312</c:v>
                </c:pt>
                <c:pt idx="319">
                  <c:v>6448</c:v>
                </c:pt>
                <c:pt idx="320">
                  <c:v>6375</c:v>
                </c:pt>
                <c:pt idx="321">
                  <c:v>6272</c:v>
                </c:pt>
                <c:pt idx="322">
                  <c:v>6192</c:v>
                </c:pt>
                <c:pt idx="323">
                  <c:v>6250</c:v>
                </c:pt>
                <c:pt idx="324">
                  <c:v>6227</c:v>
                </c:pt>
                <c:pt idx="325">
                  <c:v>6152</c:v>
                </c:pt>
                <c:pt idx="326">
                  <c:v>6054</c:v>
                </c:pt>
                <c:pt idx="327">
                  <c:v>6028</c:v>
                </c:pt>
                <c:pt idx="328">
                  <c:v>5995</c:v>
                </c:pt>
                <c:pt idx="329">
                  <c:v>5865</c:v>
                </c:pt>
                <c:pt idx="330">
                  <c:v>5821</c:v>
                </c:pt>
                <c:pt idx="331">
                  <c:v>5895</c:v>
                </c:pt>
                <c:pt idx="332">
                  <c:v>5987</c:v>
                </c:pt>
                <c:pt idx="333">
                  <c:v>5981</c:v>
                </c:pt>
                <c:pt idx="334">
                  <c:v>5903</c:v>
                </c:pt>
                <c:pt idx="335">
                  <c:v>5894</c:v>
                </c:pt>
                <c:pt idx="336">
                  <c:v>6084</c:v>
                </c:pt>
                <c:pt idx="337">
                  <c:v>6038</c:v>
                </c:pt>
                <c:pt idx="338">
                  <c:v>5998</c:v>
                </c:pt>
                <c:pt idx="339">
                  <c:v>5950</c:v>
                </c:pt>
                <c:pt idx="340">
                  <c:v>5943</c:v>
                </c:pt>
                <c:pt idx="341">
                  <c:v>6016</c:v>
                </c:pt>
                <c:pt idx="342">
                  <c:v>5963</c:v>
                </c:pt>
                <c:pt idx="343">
                  <c:v>5930</c:v>
                </c:pt>
                <c:pt idx="344">
                  <c:v>5819</c:v>
                </c:pt>
                <c:pt idx="345">
                  <c:v>5743</c:v>
                </c:pt>
                <c:pt idx="346">
                  <c:v>5954</c:v>
                </c:pt>
                <c:pt idx="347">
                  <c:v>5927</c:v>
                </c:pt>
                <c:pt idx="348">
                  <c:v>5965</c:v>
                </c:pt>
                <c:pt idx="349">
                  <c:v>6002</c:v>
                </c:pt>
                <c:pt idx="350">
                  <c:v>6058</c:v>
                </c:pt>
                <c:pt idx="351">
                  <c:v>6228</c:v>
                </c:pt>
                <c:pt idx="352">
                  <c:v>6239</c:v>
                </c:pt>
                <c:pt idx="353">
                  <c:v>6283</c:v>
                </c:pt>
                <c:pt idx="354">
                  <c:v>6308</c:v>
                </c:pt>
                <c:pt idx="355">
                  <c:v>6640</c:v>
                </c:pt>
                <c:pt idx="356">
                  <c:v>6649</c:v>
                </c:pt>
                <c:pt idx="357">
                  <c:v>6651</c:v>
                </c:pt>
                <c:pt idx="358">
                  <c:v>6617</c:v>
                </c:pt>
                <c:pt idx="359">
                  <c:v>6599</c:v>
                </c:pt>
                <c:pt idx="360">
                  <c:v>6790</c:v>
                </c:pt>
                <c:pt idx="361">
                  <c:v>6823</c:v>
                </c:pt>
                <c:pt idx="362">
                  <c:v>6825</c:v>
                </c:pt>
                <c:pt idx="363">
                  <c:v>6874</c:v>
                </c:pt>
                <c:pt idx="364">
                  <c:v>7248</c:v>
                </c:pt>
                <c:pt idx="365">
                  <c:v>7268</c:v>
                </c:pt>
                <c:pt idx="366">
                  <c:v>7239</c:v>
                </c:pt>
                <c:pt idx="367">
                  <c:v>7239</c:v>
                </c:pt>
                <c:pt idx="368">
                  <c:v>7247</c:v>
                </c:pt>
                <c:pt idx="369">
                  <c:v>7431</c:v>
                </c:pt>
                <c:pt idx="370">
                  <c:v>7433</c:v>
                </c:pt>
                <c:pt idx="371">
                  <c:v>7340</c:v>
                </c:pt>
                <c:pt idx="372">
                  <c:v>7318</c:v>
                </c:pt>
                <c:pt idx="373">
                  <c:v>7307</c:v>
                </c:pt>
                <c:pt idx="374">
                  <c:v>7544</c:v>
                </c:pt>
                <c:pt idx="375">
                  <c:v>7548</c:v>
                </c:pt>
                <c:pt idx="376">
                  <c:v>7493</c:v>
                </c:pt>
                <c:pt idx="377">
                  <c:v>7439</c:v>
                </c:pt>
                <c:pt idx="378">
                  <c:v>7451</c:v>
                </c:pt>
                <c:pt idx="379">
                  <c:v>7741</c:v>
                </c:pt>
                <c:pt idx="380">
                  <c:v>7691</c:v>
                </c:pt>
                <c:pt idx="381">
                  <c:v>7565</c:v>
                </c:pt>
                <c:pt idx="382">
                  <c:v>7596</c:v>
                </c:pt>
                <c:pt idx="383">
                  <c:v>7546</c:v>
                </c:pt>
                <c:pt idx="384">
                  <c:v>7563</c:v>
                </c:pt>
                <c:pt idx="385">
                  <c:v>7491</c:v>
                </c:pt>
                <c:pt idx="386">
                  <c:v>7418</c:v>
                </c:pt>
                <c:pt idx="387">
                  <c:v>7365</c:v>
                </c:pt>
                <c:pt idx="388">
                  <c:v>7494</c:v>
                </c:pt>
                <c:pt idx="389">
                  <c:v>7474</c:v>
                </c:pt>
                <c:pt idx="390">
                  <c:v>7404</c:v>
                </c:pt>
                <c:pt idx="391">
                  <c:v>7368</c:v>
                </c:pt>
                <c:pt idx="392">
                  <c:v>7356</c:v>
                </c:pt>
                <c:pt idx="393">
                  <c:v>7565</c:v>
                </c:pt>
                <c:pt idx="394">
                  <c:v>7589</c:v>
                </c:pt>
                <c:pt idx="395">
                  <c:v>7546</c:v>
                </c:pt>
                <c:pt idx="396">
                  <c:v>7499</c:v>
                </c:pt>
                <c:pt idx="397">
                  <c:v>7464</c:v>
                </c:pt>
                <c:pt idx="398">
                  <c:v>7570</c:v>
                </c:pt>
                <c:pt idx="399">
                  <c:v>7583</c:v>
                </c:pt>
                <c:pt idx="400">
                  <c:v>7566</c:v>
                </c:pt>
                <c:pt idx="401">
                  <c:v>7449</c:v>
                </c:pt>
                <c:pt idx="402">
                  <c:v>7447</c:v>
                </c:pt>
                <c:pt idx="403">
                  <c:v>7577</c:v>
                </c:pt>
                <c:pt idx="404">
                  <c:v>7508</c:v>
                </c:pt>
                <c:pt idx="405">
                  <c:v>7431</c:v>
                </c:pt>
                <c:pt idx="406">
                  <c:v>7373</c:v>
                </c:pt>
                <c:pt idx="407">
                  <c:v>7298</c:v>
                </c:pt>
                <c:pt idx="408">
                  <c:v>7209</c:v>
                </c:pt>
                <c:pt idx="409">
                  <c:v>7128</c:v>
                </c:pt>
                <c:pt idx="410">
                  <c:v>6967</c:v>
                </c:pt>
                <c:pt idx="411">
                  <c:v>6799</c:v>
                </c:pt>
                <c:pt idx="412">
                  <c:v>6745</c:v>
                </c:pt>
                <c:pt idx="413">
                  <c:v>6728</c:v>
                </c:pt>
                <c:pt idx="414">
                  <c:v>6725</c:v>
                </c:pt>
                <c:pt idx="415">
                  <c:v>6685</c:v>
                </c:pt>
                <c:pt idx="416">
                  <c:v>6681</c:v>
                </c:pt>
                <c:pt idx="417">
                  <c:v>6630</c:v>
                </c:pt>
                <c:pt idx="418">
                  <c:v>6912</c:v>
                </c:pt>
                <c:pt idx="419">
                  <c:v>6999</c:v>
                </c:pt>
                <c:pt idx="420">
                  <c:v>7043</c:v>
                </c:pt>
                <c:pt idx="421">
                  <c:v>6988</c:v>
                </c:pt>
                <c:pt idx="422">
                  <c:v>6982</c:v>
                </c:pt>
                <c:pt idx="423">
                  <c:v>7317</c:v>
                </c:pt>
                <c:pt idx="424">
                  <c:v>7346</c:v>
                </c:pt>
                <c:pt idx="425">
                  <c:v>7340</c:v>
                </c:pt>
                <c:pt idx="426">
                  <c:v>7271</c:v>
                </c:pt>
                <c:pt idx="427">
                  <c:v>7257</c:v>
                </c:pt>
                <c:pt idx="428">
                  <c:v>7762</c:v>
                </c:pt>
                <c:pt idx="429">
                  <c:v>7893</c:v>
                </c:pt>
                <c:pt idx="430">
                  <c:v>7919</c:v>
                </c:pt>
                <c:pt idx="431">
                  <c:v>7899</c:v>
                </c:pt>
                <c:pt idx="432">
                  <c:v>7899</c:v>
                </c:pt>
                <c:pt idx="433">
                  <c:v>8292</c:v>
                </c:pt>
                <c:pt idx="434">
                  <c:v>8365</c:v>
                </c:pt>
                <c:pt idx="435">
                  <c:v>8390</c:v>
                </c:pt>
                <c:pt idx="436">
                  <c:v>8333</c:v>
                </c:pt>
                <c:pt idx="437">
                  <c:v>8373</c:v>
                </c:pt>
                <c:pt idx="438">
                  <c:v>8695</c:v>
                </c:pt>
                <c:pt idx="439">
                  <c:v>8819</c:v>
                </c:pt>
                <c:pt idx="440">
                  <c:v>8843</c:v>
                </c:pt>
                <c:pt idx="441">
                  <c:v>8757</c:v>
                </c:pt>
                <c:pt idx="442">
                  <c:v>8714</c:v>
                </c:pt>
                <c:pt idx="443">
                  <c:v>8902</c:v>
                </c:pt>
                <c:pt idx="444">
                  <c:v>8870</c:v>
                </c:pt>
                <c:pt idx="445">
                  <c:v>8800</c:v>
                </c:pt>
                <c:pt idx="446">
                  <c:v>8660</c:v>
                </c:pt>
                <c:pt idx="447">
                  <c:v>8594</c:v>
                </c:pt>
                <c:pt idx="448">
                  <c:v>8724</c:v>
                </c:pt>
                <c:pt idx="449">
                  <c:v>8699</c:v>
                </c:pt>
                <c:pt idx="450">
                  <c:v>8650</c:v>
                </c:pt>
                <c:pt idx="451">
                  <c:v>8404</c:v>
                </c:pt>
                <c:pt idx="452">
                  <c:v>8404</c:v>
                </c:pt>
                <c:pt idx="453">
                  <c:v>8607</c:v>
                </c:pt>
                <c:pt idx="454">
                  <c:v>8573</c:v>
                </c:pt>
                <c:pt idx="455">
                  <c:v>8488</c:v>
                </c:pt>
                <c:pt idx="456">
                  <c:v>8380</c:v>
                </c:pt>
                <c:pt idx="457">
                  <c:v>8463</c:v>
                </c:pt>
                <c:pt idx="458">
                  <c:v>8512</c:v>
                </c:pt>
                <c:pt idx="459">
                  <c:v>8348</c:v>
                </c:pt>
                <c:pt idx="460">
                  <c:v>8092</c:v>
                </c:pt>
                <c:pt idx="461">
                  <c:v>8056</c:v>
                </c:pt>
                <c:pt idx="462">
                  <c:v>8188</c:v>
                </c:pt>
                <c:pt idx="463">
                  <c:v>8160</c:v>
                </c:pt>
                <c:pt idx="464">
                  <c:v>8045</c:v>
                </c:pt>
                <c:pt idx="465">
                  <c:v>7872</c:v>
                </c:pt>
                <c:pt idx="466">
                  <c:v>7813</c:v>
                </c:pt>
                <c:pt idx="467">
                  <c:v>8026</c:v>
                </c:pt>
                <c:pt idx="468">
                  <c:v>8153</c:v>
                </c:pt>
                <c:pt idx="469">
                  <c:v>8182</c:v>
                </c:pt>
                <c:pt idx="470">
                  <c:v>8057</c:v>
                </c:pt>
                <c:pt idx="471">
                  <c:v>8004</c:v>
                </c:pt>
                <c:pt idx="472">
                  <c:v>8180</c:v>
                </c:pt>
                <c:pt idx="473">
                  <c:v>8212</c:v>
                </c:pt>
                <c:pt idx="474">
                  <c:v>8133</c:v>
                </c:pt>
                <c:pt idx="475">
                  <c:v>8008</c:v>
                </c:pt>
                <c:pt idx="476">
                  <c:v>7974</c:v>
                </c:pt>
                <c:pt idx="477">
                  <c:v>8042</c:v>
                </c:pt>
                <c:pt idx="478">
                  <c:v>8072</c:v>
                </c:pt>
                <c:pt idx="479">
                  <c:v>8133</c:v>
                </c:pt>
                <c:pt idx="480">
                  <c:v>8033</c:v>
                </c:pt>
                <c:pt idx="481">
                  <c:v>8829</c:v>
                </c:pt>
                <c:pt idx="482">
                  <c:v>9144</c:v>
                </c:pt>
                <c:pt idx="483">
                  <c:v>9311</c:v>
                </c:pt>
                <c:pt idx="484">
                  <c:v>9670</c:v>
                </c:pt>
                <c:pt idx="485">
                  <c:v>9670</c:v>
                </c:pt>
                <c:pt idx="486">
                  <c:v>10558</c:v>
                </c:pt>
                <c:pt idx="487">
                  <c:v>10718</c:v>
                </c:pt>
                <c:pt idx="488">
                  <c:v>10770</c:v>
                </c:pt>
                <c:pt idx="489">
                  <c:v>10870</c:v>
                </c:pt>
                <c:pt idx="490">
                  <c:v>11230</c:v>
                </c:pt>
                <c:pt idx="491">
                  <c:v>11206</c:v>
                </c:pt>
                <c:pt idx="492">
                  <c:v>11217</c:v>
                </c:pt>
                <c:pt idx="493">
                  <c:v>11144</c:v>
                </c:pt>
                <c:pt idx="494">
                  <c:v>11375</c:v>
                </c:pt>
                <c:pt idx="495">
                  <c:v>11516</c:v>
                </c:pt>
                <c:pt idx="496">
                  <c:v>11291</c:v>
                </c:pt>
                <c:pt idx="497">
                  <c:v>11149</c:v>
                </c:pt>
                <c:pt idx="498">
                  <c:v>11092</c:v>
                </c:pt>
                <c:pt idx="499">
                  <c:v>11242</c:v>
                </c:pt>
                <c:pt idx="500">
                  <c:v>11192</c:v>
                </c:pt>
                <c:pt idx="501">
                  <c:v>11077</c:v>
                </c:pt>
                <c:pt idx="502">
                  <c:v>10998</c:v>
                </c:pt>
                <c:pt idx="503">
                  <c:v>10871</c:v>
                </c:pt>
                <c:pt idx="504">
                  <c:v>10897</c:v>
                </c:pt>
                <c:pt idx="505">
                  <c:v>10832</c:v>
                </c:pt>
                <c:pt idx="506">
                  <c:v>10761</c:v>
                </c:pt>
                <c:pt idx="507">
                  <c:v>10635</c:v>
                </c:pt>
                <c:pt idx="508">
                  <c:v>10579</c:v>
                </c:pt>
                <c:pt idx="509">
                  <c:v>10536</c:v>
                </c:pt>
                <c:pt idx="510">
                  <c:v>10398</c:v>
                </c:pt>
                <c:pt idx="511">
                  <c:v>10223</c:v>
                </c:pt>
                <c:pt idx="512">
                  <c:v>10123</c:v>
                </c:pt>
                <c:pt idx="513">
                  <c:v>9845</c:v>
                </c:pt>
                <c:pt idx="514">
                  <c:v>9838</c:v>
                </c:pt>
                <c:pt idx="515">
                  <c:v>9804</c:v>
                </c:pt>
                <c:pt idx="516">
                  <c:v>9638</c:v>
                </c:pt>
                <c:pt idx="517">
                  <c:v>9573</c:v>
                </c:pt>
                <c:pt idx="518">
                  <c:v>9762</c:v>
                </c:pt>
                <c:pt idx="519">
                  <c:v>9762</c:v>
                </c:pt>
                <c:pt idx="520">
                  <c:v>9665</c:v>
                </c:pt>
                <c:pt idx="521">
                  <c:v>9510</c:v>
                </c:pt>
                <c:pt idx="522">
                  <c:v>9477</c:v>
                </c:pt>
                <c:pt idx="523">
                  <c:v>9634</c:v>
                </c:pt>
                <c:pt idx="524">
                  <c:v>9483</c:v>
                </c:pt>
                <c:pt idx="525">
                  <c:v>9286</c:v>
                </c:pt>
                <c:pt idx="526">
                  <c:v>9273</c:v>
                </c:pt>
                <c:pt idx="527">
                  <c:v>9442</c:v>
                </c:pt>
                <c:pt idx="528">
                  <c:v>9250</c:v>
                </c:pt>
                <c:pt idx="529">
                  <c:v>9072</c:v>
                </c:pt>
                <c:pt idx="530">
                  <c:v>9026</c:v>
                </c:pt>
                <c:pt idx="531">
                  <c:v>8925</c:v>
                </c:pt>
                <c:pt idx="532">
                  <c:v>9235</c:v>
                </c:pt>
                <c:pt idx="533">
                  <c:v>9351</c:v>
                </c:pt>
                <c:pt idx="534">
                  <c:v>9396</c:v>
                </c:pt>
                <c:pt idx="535">
                  <c:v>9436</c:v>
                </c:pt>
                <c:pt idx="536">
                  <c:v>9506</c:v>
                </c:pt>
                <c:pt idx="537">
                  <c:v>10319</c:v>
                </c:pt>
                <c:pt idx="538">
                  <c:v>10511</c:v>
                </c:pt>
                <c:pt idx="539">
                  <c:v>10630</c:v>
                </c:pt>
                <c:pt idx="540">
                  <c:v>10629</c:v>
                </c:pt>
                <c:pt idx="541">
                  <c:v>10571</c:v>
                </c:pt>
                <c:pt idx="542">
                  <c:v>10992</c:v>
                </c:pt>
                <c:pt idx="543">
                  <c:v>10960</c:v>
                </c:pt>
                <c:pt idx="544">
                  <c:v>10910</c:v>
                </c:pt>
                <c:pt idx="545">
                  <c:v>10815</c:v>
                </c:pt>
                <c:pt idx="546">
                  <c:v>11130</c:v>
                </c:pt>
                <c:pt idx="547">
                  <c:v>10963</c:v>
                </c:pt>
                <c:pt idx="548">
                  <c:v>10818</c:v>
                </c:pt>
                <c:pt idx="549">
                  <c:v>10724</c:v>
                </c:pt>
                <c:pt idx="550">
                  <c:v>10598</c:v>
                </c:pt>
                <c:pt idx="551">
                  <c:v>10984</c:v>
                </c:pt>
                <c:pt idx="552">
                  <c:v>11017</c:v>
                </c:pt>
                <c:pt idx="553">
                  <c:v>10978</c:v>
                </c:pt>
                <c:pt idx="554">
                  <c:v>10842</c:v>
                </c:pt>
                <c:pt idx="555">
                  <c:v>10744</c:v>
                </c:pt>
                <c:pt idx="556">
                  <c:v>11067</c:v>
                </c:pt>
                <c:pt idx="557">
                  <c:v>11064</c:v>
                </c:pt>
                <c:pt idx="558">
                  <c:v>11095</c:v>
                </c:pt>
                <c:pt idx="559">
                  <c:v>10892</c:v>
                </c:pt>
                <c:pt idx="560">
                  <c:v>10799</c:v>
                </c:pt>
                <c:pt idx="561">
                  <c:v>10837</c:v>
                </c:pt>
                <c:pt idx="562">
                  <c:v>10678</c:v>
                </c:pt>
                <c:pt idx="563">
                  <c:v>10649</c:v>
                </c:pt>
                <c:pt idx="564">
                  <c:v>10492</c:v>
                </c:pt>
                <c:pt idx="565">
                  <c:v>10282</c:v>
                </c:pt>
                <c:pt idx="566">
                  <c:v>10419</c:v>
                </c:pt>
                <c:pt idx="567">
                  <c:v>10356</c:v>
                </c:pt>
                <c:pt idx="568">
                  <c:v>10142</c:v>
                </c:pt>
                <c:pt idx="569">
                  <c:v>9988</c:v>
                </c:pt>
                <c:pt idx="570">
                  <c:v>10140</c:v>
                </c:pt>
                <c:pt idx="571">
                  <c:v>10280</c:v>
                </c:pt>
                <c:pt idx="572">
                  <c:v>10180</c:v>
                </c:pt>
                <c:pt idx="573">
                  <c:v>10012</c:v>
                </c:pt>
                <c:pt idx="574">
                  <c:v>9873</c:v>
                </c:pt>
                <c:pt idx="575">
                  <c:v>10026</c:v>
                </c:pt>
                <c:pt idx="576">
                  <c:v>10071</c:v>
                </c:pt>
                <c:pt idx="577">
                  <c:v>9921</c:v>
                </c:pt>
                <c:pt idx="578">
                  <c:v>9668</c:v>
                </c:pt>
                <c:pt idx="579">
                  <c:v>9483</c:v>
                </c:pt>
                <c:pt idx="580">
                  <c:v>9694</c:v>
                </c:pt>
                <c:pt idx="581">
                  <c:v>9634</c:v>
                </c:pt>
                <c:pt idx="582">
                  <c:v>8914</c:v>
                </c:pt>
                <c:pt idx="583">
                  <c:v>8888</c:v>
                </c:pt>
                <c:pt idx="584">
                  <c:v>8725</c:v>
                </c:pt>
                <c:pt idx="585">
                  <c:v>8493</c:v>
                </c:pt>
                <c:pt idx="586">
                  <c:v>8298</c:v>
                </c:pt>
                <c:pt idx="587">
                  <c:v>8294</c:v>
                </c:pt>
                <c:pt idx="588">
                  <c:v>8261</c:v>
                </c:pt>
                <c:pt idx="589">
                  <c:v>8103</c:v>
                </c:pt>
                <c:pt idx="590">
                  <c:v>7800</c:v>
                </c:pt>
                <c:pt idx="591">
                  <c:v>7671</c:v>
                </c:pt>
                <c:pt idx="592">
                  <c:v>7754</c:v>
                </c:pt>
                <c:pt idx="593">
                  <c:v>7647</c:v>
                </c:pt>
                <c:pt idx="594">
                  <c:v>7510</c:v>
                </c:pt>
                <c:pt idx="595">
                  <c:v>7220</c:v>
                </c:pt>
                <c:pt idx="596">
                  <c:v>7052</c:v>
                </c:pt>
                <c:pt idx="597">
                  <c:v>7116</c:v>
                </c:pt>
                <c:pt idx="598">
                  <c:v>7001</c:v>
                </c:pt>
                <c:pt idx="599">
                  <c:v>6874</c:v>
                </c:pt>
                <c:pt idx="600">
                  <c:v>6632</c:v>
                </c:pt>
                <c:pt idx="601">
                  <c:v>6468</c:v>
                </c:pt>
                <c:pt idx="602">
                  <c:v>6604</c:v>
                </c:pt>
                <c:pt idx="603">
                  <c:v>6521</c:v>
                </c:pt>
                <c:pt idx="604">
                  <c:v>6498</c:v>
                </c:pt>
                <c:pt idx="605">
                  <c:v>6346</c:v>
                </c:pt>
                <c:pt idx="606">
                  <c:v>6214</c:v>
                </c:pt>
                <c:pt idx="607">
                  <c:v>6239</c:v>
                </c:pt>
                <c:pt idx="608">
                  <c:v>6193</c:v>
                </c:pt>
                <c:pt idx="609">
                  <c:v>6127</c:v>
                </c:pt>
                <c:pt idx="610">
                  <c:v>5903</c:v>
                </c:pt>
                <c:pt idx="611">
                  <c:v>6058</c:v>
                </c:pt>
                <c:pt idx="612">
                  <c:v>5999</c:v>
                </c:pt>
                <c:pt idx="613">
                  <c:v>5917</c:v>
                </c:pt>
                <c:pt idx="614">
                  <c:v>5819</c:v>
                </c:pt>
                <c:pt idx="615">
                  <c:v>5766</c:v>
                </c:pt>
                <c:pt idx="616">
                  <c:v>5956</c:v>
                </c:pt>
                <c:pt idx="617">
                  <c:v>5922</c:v>
                </c:pt>
                <c:pt idx="618">
                  <c:v>5904</c:v>
                </c:pt>
                <c:pt idx="619">
                  <c:v>5679</c:v>
                </c:pt>
                <c:pt idx="620">
                  <c:v>6038</c:v>
                </c:pt>
                <c:pt idx="621">
                  <c:v>6065</c:v>
                </c:pt>
                <c:pt idx="622">
                  <c:v>6061</c:v>
                </c:pt>
                <c:pt idx="623">
                  <c:v>6021</c:v>
                </c:pt>
                <c:pt idx="624">
                  <c:v>6007</c:v>
                </c:pt>
                <c:pt idx="625">
                  <c:v>6446</c:v>
                </c:pt>
                <c:pt idx="626">
                  <c:v>6483</c:v>
                </c:pt>
                <c:pt idx="627">
                  <c:v>6508</c:v>
                </c:pt>
                <c:pt idx="628">
                  <c:v>6523</c:v>
                </c:pt>
                <c:pt idx="629">
                  <c:v>6555</c:v>
                </c:pt>
                <c:pt idx="630">
                  <c:v>7002</c:v>
                </c:pt>
                <c:pt idx="631">
                  <c:v>7053</c:v>
                </c:pt>
                <c:pt idx="632">
                  <c:v>7046</c:v>
                </c:pt>
                <c:pt idx="633">
                  <c:v>6996</c:v>
                </c:pt>
                <c:pt idx="634">
                  <c:v>7546</c:v>
                </c:pt>
                <c:pt idx="635">
                  <c:v>7709</c:v>
                </c:pt>
                <c:pt idx="636">
                  <c:v>7788</c:v>
                </c:pt>
                <c:pt idx="637">
                  <c:v>7848</c:v>
                </c:pt>
                <c:pt idx="638">
                  <c:v>7826</c:v>
                </c:pt>
                <c:pt idx="639">
                  <c:v>8474</c:v>
                </c:pt>
                <c:pt idx="640">
                  <c:v>8569</c:v>
                </c:pt>
                <c:pt idx="641">
                  <c:v>8572</c:v>
                </c:pt>
                <c:pt idx="642">
                  <c:v>8571</c:v>
                </c:pt>
                <c:pt idx="643">
                  <c:v>8445</c:v>
                </c:pt>
                <c:pt idx="644">
                  <c:v>8672</c:v>
                </c:pt>
                <c:pt idx="645">
                  <c:v>8681</c:v>
                </c:pt>
                <c:pt idx="646">
                  <c:v>8606</c:v>
                </c:pt>
                <c:pt idx="647">
                  <c:v>8590</c:v>
                </c:pt>
                <c:pt idx="648">
                  <c:v>8485</c:v>
                </c:pt>
                <c:pt idx="649">
                  <c:v>8790</c:v>
                </c:pt>
                <c:pt idx="650">
                  <c:v>8704</c:v>
                </c:pt>
                <c:pt idx="651">
                  <c:v>8654</c:v>
                </c:pt>
                <c:pt idx="652">
                  <c:v>8492</c:v>
                </c:pt>
                <c:pt idx="653">
                  <c:v>8352</c:v>
                </c:pt>
                <c:pt idx="654">
                  <c:v>8159</c:v>
                </c:pt>
                <c:pt idx="655">
                  <c:v>8117</c:v>
                </c:pt>
                <c:pt idx="656">
                  <c:v>8017</c:v>
                </c:pt>
                <c:pt idx="657">
                  <c:v>7796</c:v>
                </c:pt>
                <c:pt idx="658">
                  <c:v>7534</c:v>
                </c:pt>
                <c:pt idx="659">
                  <c:v>7490</c:v>
                </c:pt>
                <c:pt idx="660">
                  <c:v>7356</c:v>
                </c:pt>
                <c:pt idx="661">
                  <c:v>7376</c:v>
                </c:pt>
                <c:pt idx="662">
                  <c:v>7344</c:v>
                </c:pt>
                <c:pt idx="663">
                  <c:v>7380</c:v>
                </c:pt>
                <c:pt idx="664">
                  <c:v>7795</c:v>
                </c:pt>
                <c:pt idx="665">
                  <c:v>7876</c:v>
                </c:pt>
                <c:pt idx="666">
                  <c:v>7922</c:v>
                </c:pt>
                <c:pt idx="667">
                  <c:v>7826</c:v>
                </c:pt>
                <c:pt idx="668">
                  <c:v>7900</c:v>
                </c:pt>
                <c:pt idx="669">
                  <c:v>8178</c:v>
                </c:pt>
                <c:pt idx="670">
                  <c:v>8175</c:v>
                </c:pt>
                <c:pt idx="671">
                  <c:v>8068</c:v>
                </c:pt>
                <c:pt idx="672">
                  <c:v>8054</c:v>
                </c:pt>
                <c:pt idx="673">
                  <c:v>7981</c:v>
                </c:pt>
                <c:pt idx="674">
                  <c:v>8158</c:v>
                </c:pt>
                <c:pt idx="675">
                  <c:v>8208</c:v>
                </c:pt>
                <c:pt idx="676">
                  <c:v>8079</c:v>
                </c:pt>
                <c:pt idx="677">
                  <c:v>7994</c:v>
                </c:pt>
                <c:pt idx="678">
                  <c:v>7847</c:v>
                </c:pt>
                <c:pt idx="679">
                  <c:v>8102</c:v>
                </c:pt>
                <c:pt idx="680">
                  <c:v>8097</c:v>
                </c:pt>
                <c:pt idx="681">
                  <c:v>8050</c:v>
                </c:pt>
                <c:pt idx="682">
                  <c:v>7931</c:v>
                </c:pt>
                <c:pt idx="683">
                  <c:v>7885</c:v>
                </c:pt>
                <c:pt idx="684">
                  <c:v>7989</c:v>
                </c:pt>
                <c:pt idx="685">
                  <c:v>7915</c:v>
                </c:pt>
                <c:pt idx="686">
                  <c:v>7810</c:v>
                </c:pt>
                <c:pt idx="687">
                  <c:v>7567</c:v>
                </c:pt>
                <c:pt idx="688">
                  <c:v>7786</c:v>
                </c:pt>
                <c:pt idx="689">
                  <c:v>7885</c:v>
                </c:pt>
                <c:pt idx="690">
                  <c:v>7859</c:v>
                </c:pt>
                <c:pt idx="691">
                  <c:v>7870</c:v>
                </c:pt>
                <c:pt idx="692">
                  <c:v>7930</c:v>
                </c:pt>
                <c:pt idx="693">
                  <c:v>7896</c:v>
                </c:pt>
                <c:pt idx="694">
                  <c:v>7800</c:v>
                </c:pt>
                <c:pt idx="695">
                  <c:v>7609</c:v>
                </c:pt>
                <c:pt idx="696">
                  <c:v>7914</c:v>
                </c:pt>
                <c:pt idx="697">
                  <c:v>7978</c:v>
                </c:pt>
                <c:pt idx="698">
                  <c:v>7967</c:v>
                </c:pt>
                <c:pt idx="699">
                  <c:v>7817</c:v>
                </c:pt>
                <c:pt idx="700">
                  <c:v>7793</c:v>
                </c:pt>
                <c:pt idx="701">
                  <c:v>7869</c:v>
                </c:pt>
                <c:pt idx="702">
                  <c:v>7794</c:v>
                </c:pt>
                <c:pt idx="703">
                  <c:v>7483</c:v>
                </c:pt>
                <c:pt idx="704">
                  <c:v>7434</c:v>
                </c:pt>
                <c:pt idx="705">
                  <c:v>7908</c:v>
                </c:pt>
                <c:pt idx="706">
                  <c:v>7915</c:v>
                </c:pt>
                <c:pt idx="707">
                  <c:v>7855</c:v>
                </c:pt>
                <c:pt idx="708">
                  <c:v>7720</c:v>
                </c:pt>
                <c:pt idx="709">
                  <c:v>7586</c:v>
                </c:pt>
                <c:pt idx="710">
                  <c:v>7879</c:v>
                </c:pt>
                <c:pt idx="711">
                  <c:v>7903</c:v>
                </c:pt>
                <c:pt idx="712">
                  <c:v>7803</c:v>
                </c:pt>
                <c:pt idx="713">
                  <c:v>7743</c:v>
                </c:pt>
                <c:pt idx="714">
                  <c:v>7472</c:v>
                </c:pt>
                <c:pt idx="715">
                  <c:v>7538</c:v>
                </c:pt>
                <c:pt idx="716">
                  <c:v>7433</c:v>
                </c:pt>
                <c:pt idx="717">
                  <c:v>7280</c:v>
                </c:pt>
                <c:pt idx="718">
                  <c:v>7122</c:v>
                </c:pt>
                <c:pt idx="719">
                  <c:v>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8-4127-84AC-DD86CFE74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1956367"/>
        <c:axId val="1981971247"/>
      </c:lineChart>
      <c:catAx>
        <c:axId val="19819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71247"/>
        <c:crosses val="autoZero"/>
        <c:auto val="1"/>
        <c:lblAlgn val="ctr"/>
        <c:lblOffset val="100"/>
        <c:noMultiLvlLbl val="0"/>
      </c:catAx>
      <c:valAx>
        <c:axId val="19819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Transfer vs Discharge Trends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HHS_Unaccompanied_Alien_Childre!$E$1</c:f>
              <c:strCache>
                <c:ptCount val="1"/>
                <c:pt idx="0">
                  <c:v>Children transferred out of CBP custody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HHS_Unaccompanied_Alien_Childre!$A$2:$A$722</c:f>
              <c:numCache>
                <c:formatCode>d\-mmm\-yy</c:formatCode>
                <c:ptCount val="721"/>
                <c:pt idx="0">
                  <c:v>46012</c:v>
                </c:pt>
                <c:pt idx="1">
                  <c:v>46013</c:v>
                </c:pt>
                <c:pt idx="2">
                  <c:v>46014</c:v>
                </c:pt>
                <c:pt idx="3">
                  <c:v>46015</c:v>
                </c:pt>
                <c:pt idx="4">
                  <c:v>46016</c:v>
                </c:pt>
                <c:pt idx="5">
                  <c:v>46017</c:v>
                </c:pt>
                <c:pt idx="6">
                  <c:v>46018</c:v>
                </c:pt>
                <c:pt idx="7">
                  <c:v>46019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  <c:pt idx="16">
                  <c:v>46028</c:v>
                </c:pt>
                <c:pt idx="17">
                  <c:v>46029</c:v>
                </c:pt>
                <c:pt idx="18">
                  <c:v>46030</c:v>
                </c:pt>
                <c:pt idx="19">
                  <c:v>46031</c:v>
                </c:pt>
                <c:pt idx="20">
                  <c:v>46032</c:v>
                </c:pt>
                <c:pt idx="21">
                  <c:v>46033</c:v>
                </c:pt>
                <c:pt idx="22">
                  <c:v>46034</c:v>
                </c:pt>
                <c:pt idx="23">
                  <c:v>46035</c:v>
                </c:pt>
                <c:pt idx="24">
                  <c:v>46036</c:v>
                </c:pt>
                <c:pt idx="25">
                  <c:v>46037</c:v>
                </c:pt>
                <c:pt idx="26">
                  <c:v>46038</c:v>
                </c:pt>
                <c:pt idx="27">
                  <c:v>46039</c:v>
                </c:pt>
                <c:pt idx="28">
                  <c:v>46040</c:v>
                </c:pt>
                <c:pt idx="29">
                  <c:v>46041</c:v>
                </c:pt>
                <c:pt idx="30">
                  <c:v>46042</c:v>
                </c:pt>
                <c:pt idx="31">
                  <c:v>46043</c:v>
                </c:pt>
                <c:pt idx="32">
                  <c:v>46044</c:v>
                </c:pt>
                <c:pt idx="33">
                  <c:v>46045</c:v>
                </c:pt>
                <c:pt idx="34">
                  <c:v>46046</c:v>
                </c:pt>
                <c:pt idx="35">
                  <c:v>46047</c:v>
                </c:pt>
                <c:pt idx="36">
                  <c:v>46048</c:v>
                </c:pt>
                <c:pt idx="37">
                  <c:v>46049</c:v>
                </c:pt>
                <c:pt idx="38">
                  <c:v>46050</c:v>
                </c:pt>
                <c:pt idx="39">
                  <c:v>46051</c:v>
                </c:pt>
                <c:pt idx="40">
                  <c:v>46052</c:v>
                </c:pt>
                <c:pt idx="41">
                  <c:v>46053</c:v>
                </c:pt>
                <c:pt idx="42">
                  <c:v>46054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46060</c:v>
                </c:pt>
                <c:pt idx="49">
                  <c:v>46061</c:v>
                </c:pt>
                <c:pt idx="50">
                  <c:v>46062</c:v>
                </c:pt>
                <c:pt idx="51">
                  <c:v>46063</c:v>
                </c:pt>
                <c:pt idx="52">
                  <c:v>46064</c:v>
                </c:pt>
                <c:pt idx="53">
                  <c:v>46065</c:v>
                </c:pt>
                <c:pt idx="54">
                  <c:v>46066</c:v>
                </c:pt>
                <c:pt idx="55">
                  <c:v>46067</c:v>
                </c:pt>
                <c:pt idx="56">
                  <c:v>46068</c:v>
                </c:pt>
                <c:pt idx="57">
                  <c:v>46069</c:v>
                </c:pt>
                <c:pt idx="58">
                  <c:v>46070</c:v>
                </c:pt>
                <c:pt idx="59">
                  <c:v>46071</c:v>
                </c:pt>
                <c:pt idx="60">
                  <c:v>46072</c:v>
                </c:pt>
                <c:pt idx="61">
                  <c:v>46073</c:v>
                </c:pt>
                <c:pt idx="62">
                  <c:v>46074</c:v>
                </c:pt>
                <c:pt idx="63">
                  <c:v>46075</c:v>
                </c:pt>
                <c:pt idx="64">
                  <c:v>46076</c:v>
                </c:pt>
                <c:pt idx="65">
                  <c:v>46077</c:v>
                </c:pt>
                <c:pt idx="66">
                  <c:v>46078</c:v>
                </c:pt>
                <c:pt idx="67">
                  <c:v>46079</c:v>
                </c:pt>
                <c:pt idx="68">
                  <c:v>46080</c:v>
                </c:pt>
                <c:pt idx="69">
                  <c:v>46081</c:v>
                </c:pt>
                <c:pt idx="70">
                  <c:v>46082</c:v>
                </c:pt>
                <c:pt idx="71">
                  <c:v>46083</c:v>
                </c:pt>
                <c:pt idx="72">
                  <c:v>46084</c:v>
                </c:pt>
                <c:pt idx="73">
                  <c:v>46085</c:v>
                </c:pt>
                <c:pt idx="74">
                  <c:v>46086</c:v>
                </c:pt>
                <c:pt idx="75">
                  <c:v>46087</c:v>
                </c:pt>
                <c:pt idx="76">
                  <c:v>46088</c:v>
                </c:pt>
                <c:pt idx="77">
                  <c:v>46089</c:v>
                </c:pt>
                <c:pt idx="78">
                  <c:v>46090</c:v>
                </c:pt>
                <c:pt idx="79">
                  <c:v>46091</c:v>
                </c:pt>
                <c:pt idx="80">
                  <c:v>46092</c:v>
                </c:pt>
                <c:pt idx="81">
                  <c:v>46093</c:v>
                </c:pt>
                <c:pt idx="82">
                  <c:v>46094</c:v>
                </c:pt>
                <c:pt idx="83">
                  <c:v>46095</c:v>
                </c:pt>
                <c:pt idx="84">
                  <c:v>46096</c:v>
                </c:pt>
                <c:pt idx="85">
                  <c:v>46097</c:v>
                </c:pt>
                <c:pt idx="86">
                  <c:v>46098</c:v>
                </c:pt>
                <c:pt idx="87">
                  <c:v>46099</c:v>
                </c:pt>
                <c:pt idx="88">
                  <c:v>46100</c:v>
                </c:pt>
                <c:pt idx="89">
                  <c:v>46101</c:v>
                </c:pt>
                <c:pt idx="90">
                  <c:v>46102</c:v>
                </c:pt>
                <c:pt idx="91">
                  <c:v>46103</c:v>
                </c:pt>
                <c:pt idx="92">
                  <c:v>46104</c:v>
                </c:pt>
                <c:pt idx="93">
                  <c:v>46105</c:v>
                </c:pt>
                <c:pt idx="94">
                  <c:v>46106</c:v>
                </c:pt>
                <c:pt idx="95">
                  <c:v>46107</c:v>
                </c:pt>
                <c:pt idx="96">
                  <c:v>46108</c:v>
                </c:pt>
                <c:pt idx="97">
                  <c:v>46109</c:v>
                </c:pt>
                <c:pt idx="98">
                  <c:v>46110</c:v>
                </c:pt>
                <c:pt idx="99">
                  <c:v>46111</c:v>
                </c:pt>
                <c:pt idx="100">
                  <c:v>46112</c:v>
                </c:pt>
                <c:pt idx="101">
                  <c:v>46113</c:v>
                </c:pt>
                <c:pt idx="102">
                  <c:v>46114</c:v>
                </c:pt>
                <c:pt idx="103">
                  <c:v>46115</c:v>
                </c:pt>
                <c:pt idx="104">
                  <c:v>46116</c:v>
                </c:pt>
                <c:pt idx="105">
                  <c:v>46117</c:v>
                </c:pt>
                <c:pt idx="106">
                  <c:v>46118</c:v>
                </c:pt>
                <c:pt idx="107">
                  <c:v>46119</c:v>
                </c:pt>
                <c:pt idx="108">
                  <c:v>46120</c:v>
                </c:pt>
                <c:pt idx="109">
                  <c:v>46121</c:v>
                </c:pt>
                <c:pt idx="110">
                  <c:v>46122</c:v>
                </c:pt>
                <c:pt idx="111">
                  <c:v>46123</c:v>
                </c:pt>
                <c:pt idx="112">
                  <c:v>46124</c:v>
                </c:pt>
                <c:pt idx="113">
                  <c:v>46125</c:v>
                </c:pt>
                <c:pt idx="114">
                  <c:v>46126</c:v>
                </c:pt>
                <c:pt idx="115">
                  <c:v>46127</c:v>
                </c:pt>
                <c:pt idx="116">
                  <c:v>46128</c:v>
                </c:pt>
                <c:pt idx="117">
                  <c:v>46129</c:v>
                </c:pt>
                <c:pt idx="118">
                  <c:v>46130</c:v>
                </c:pt>
                <c:pt idx="119">
                  <c:v>46131</c:v>
                </c:pt>
                <c:pt idx="120">
                  <c:v>46132</c:v>
                </c:pt>
                <c:pt idx="121">
                  <c:v>46133</c:v>
                </c:pt>
                <c:pt idx="122">
                  <c:v>46134</c:v>
                </c:pt>
                <c:pt idx="123">
                  <c:v>46135</c:v>
                </c:pt>
                <c:pt idx="124">
                  <c:v>46136</c:v>
                </c:pt>
                <c:pt idx="125">
                  <c:v>46137</c:v>
                </c:pt>
                <c:pt idx="126">
                  <c:v>46138</c:v>
                </c:pt>
                <c:pt idx="127">
                  <c:v>46139</c:v>
                </c:pt>
                <c:pt idx="128">
                  <c:v>46140</c:v>
                </c:pt>
                <c:pt idx="129">
                  <c:v>46141</c:v>
                </c:pt>
                <c:pt idx="130">
                  <c:v>46142</c:v>
                </c:pt>
                <c:pt idx="131">
                  <c:v>46143</c:v>
                </c:pt>
                <c:pt idx="132">
                  <c:v>46144</c:v>
                </c:pt>
                <c:pt idx="133">
                  <c:v>46145</c:v>
                </c:pt>
                <c:pt idx="134">
                  <c:v>46146</c:v>
                </c:pt>
                <c:pt idx="135">
                  <c:v>46147</c:v>
                </c:pt>
                <c:pt idx="136">
                  <c:v>46148</c:v>
                </c:pt>
                <c:pt idx="137">
                  <c:v>46149</c:v>
                </c:pt>
                <c:pt idx="138">
                  <c:v>46150</c:v>
                </c:pt>
                <c:pt idx="139">
                  <c:v>46151</c:v>
                </c:pt>
                <c:pt idx="140">
                  <c:v>46152</c:v>
                </c:pt>
                <c:pt idx="141">
                  <c:v>46153</c:v>
                </c:pt>
                <c:pt idx="142">
                  <c:v>46154</c:v>
                </c:pt>
                <c:pt idx="143">
                  <c:v>46155</c:v>
                </c:pt>
                <c:pt idx="144">
                  <c:v>46156</c:v>
                </c:pt>
                <c:pt idx="145">
                  <c:v>46157</c:v>
                </c:pt>
                <c:pt idx="146">
                  <c:v>46158</c:v>
                </c:pt>
                <c:pt idx="147">
                  <c:v>46159</c:v>
                </c:pt>
                <c:pt idx="148">
                  <c:v>46160</c:v>
                </c:pt>
                <c:pt idx="149">
                  <c:v>46161</c:v>
                </c:pt>
                <c:pt idx="150">
                  <c:v>46162</c:v>
                </c:pt>
                <c:pt idx="151">
                  <c:v>46163</c:v>
                </c:pt>
                <c:pt idx="152">
                  <c:v>46164</c:v>
                </c:pt>
                <c:pt idx="153">
                  <c:v>46165</c:v>
                </c:pt>
                <c:pt idx="154">
                  <c:v>46166</c:v>
                </c:pt>
                <c:pt idx="155">
                  <c:v>46167</c:v>
                </c:pt>
                <c:pt idx="156">
                  <c:v>46168</c:v>
                </c:pt>
                <c:pt idx="157">
                  <c:v>46169</c:v>
                </c:pt>
                <c:pt idx="158">
                  <c:v>46170</c:v>
                </c:pt>
                <c:pt idx="159">
                  <c:v>46171</c:v>
                </c:pt>
                <c:pt idx="160">
                  <c:v>46172</c:v>
                </c:pt>
                <c:pt idx="161">
                  <c:v>46173</c:v>
                </c:pt>
                <c:pt idx="162">
                  <c:v>46174</c:v>
                </c:pt>
                <c:pt idx="163">
                  <c:v>46175</c:v>
                </c:pt>
                <c:pt idx="164">
                  <c:v>46176</c:v>
                </c:pt>
                <c:pt idx="165">
                  <c:v>46177</c:v>
                </c:pt>
                <c:pt idx="166">
                  <c:v>46178</c:v>
                </c:pt>
                <c:pt idx="167">
                  <c:v>46179</c:v>
                </c:pt>
                <c:pt idx="168">
                  <c:v>46180</c:v>
                </c:pt>
                <c:pt idx="169">
                  <c:v>46181</c:v>
                </c:pt>
                <c:pt idx="170">
                  <c:v>46182</c:v>
                </c:pt>
                <c:pt idx="171">
                  <c:v>46183</c:v>
                </c:pt>
                <c:pt idx="172">
                  <c:v>46184</c:v>
                </c:pt>
                <c:pt idx="173">
                  <c:v>46185</c:v>
                </c:pt>
                <c:pt idx="174">
                  <c:v>46186</c:v>
                </c:pt>
                <c:pt idx="175">
                  <c:v>46187</c:v>
                </c:pt>
                <c:pt idx="176">
                  <c:v>46188</c:v>
                </c:pt>
                <c:pt idx="177">
                  <c:v>46189</c:v>
                </c:pt>
                <c:pt idx="178">
                  <c:v>46190</c:v>
                </c:pt>
                <c:pt idx="179">
                  <c:v>46191</c:v>
                </c:pt>
                <c:pt idx="180">
                  <c:v>46192</c:v>
                </c:pt>
                <c:pt idx="181">
                  <c:v>46193</c:v>
                </c:pt>
                <c:pt idx="182">
                  <c:v>46194</c:v>
                </c:pt>
                <c:pt idx="183">
                  <c:v>46195</c:v>
                </c:pt>
                <c:pt idx="184">
                  <c:v>46196</c:v>
                </c:pt>
                <c:pt idx="185">
                  <c:v>46197</c:v>
                </c:pt>
                <c:pt idx="186">
                  <c:v>46198</c:v>
                </c:pt>
                <c:pt idx="187">
                  <c:v>46199</c:v>
                </c:pt>
                <c:pt idx="188">
                  <c:v>46200</c:v>
                </c:pt>
                <c:pt idx="189">
                  <c:v>46201</c:v>
                </c:pt>
                <c:pt idx="190">
                  <c:v>46202</c:v>
                </c:pt>
                <c:pt idx="191">
                  <c:v>46203</c:v>
                </c:pt>
                <c:pt idx="192">
                  <c:v>46204</c:v>
                </c:pt>
                <c:pt idx="193">
                  <c:v>46205</c:v>
                </c:pt>
                <c:pt idx="194">
                  <c:v>46206</c:v>
                </c:pt>
                <c:pt idx="195">
                  <c:v>46207</c:v>
                </c:pt>
                <c:pt idx="196">
                  <c:v>46208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46214</c:v>
                </c:pt>
                <c:pt idx="203">
                  <c:v>46215</c:v>
                </c:pt>
                <c:pt idx="204">
                  <c:v>46216</c:v>
                </c:pt>
                <c:pt idx="205">
                  <c:v>46217</c:v>
                </c:pt>
                <c:pt idx="206">
                  <c:v>46218</c:v>
                </c:pt>
                <c:pt idx="207">
                  <c:v>46219</c:v>
                </c:pt>
                <c:pt idx="208">
                  <c:v>46220</c:v>
                </c:pt>
                <c:pt idx="209">
                  <c:v>46221</c:v>
                </c:pt>
                <c:pt idx="210">
                  <c:v>46222</c:v>
                </c:pt>
                <c:pt idx="211">
                  <c:v>46223</c:v>
                </c:pt>
                <c:pt idx="212">
                  <c:v>46224</c:v>
                </c:pt>
                <c:pt idx="213">
                  <c:v>46225</c:v>
                </c:pt>
                <c:pt idx="214">
                  <c:v>46226</c:v>
                </c:pt>
                <c:pt idx="215">
                  <c:v>46227</c:v>
                </c:pt>
                <c:pt idx="216">
                  <c:v>46228</c:v>
                </c:pt>
                <c:pt idx="217">
                  <c:v>46229</c:v>
                </c:pt>
                <c:pt idx="218">
                  <c:v>46230</c:v>
                </c:pt>
                <c:pt idx="219">
                  <c:v>46231</c:v>
                </c:pt>
                <c:pt idx="220">
                  <c:v>46232</c:v>
                </c:pt>
                <c:pt idx="221">
                  <c:v>46233</c:v>
                </c:pt>
                <c:pt idx="222">
                  <c:v>46234</c:v>
                </c:pt>
                <c:pt idx="223">
                  <c:v>46235</c:v>
                </c:pt>
                <c:pt idx="224">
                  <c:v>46236</c:v>
                </c:pt>
                <c:pt idx="225">
                  <c:v>46237</c:v>
                </c:pt>
                <c:pt idx="226">
                  <c:v>46238</c:v>
                </c:pt>
                <c:pt idx="227">
                  <c:v>46239</c:v>
                </c:pt>
                <c:pt idx="228">
                  <c:v>46240</c:v>
                </c:pt>
                <c:pt idx="229">
                  <c:v>46241</c:v>
                </c:pt>
                <c:pt idx="230">
                  <c:v>46242</c:v>
                </c:pt>
                <c:pt idx="231">
                  <c:v>46243</c:v>
                </c:pt>
                <c:pt idx="232">
                  <c:v>46244</c:v>
                </c:pt>
                <c:pt idx="233">
                  <c:v>46245</c:v>
                </c:pt>
                <c:pt idx="234">
                  <c:v>46246</c:v>
                </c:pt>
                <c:pt idx="235">
                  <c:v>46247</c:v>
                </c:pt>
                <c:pt idx="236">
                  <c:v>46248</c:v>
                </c:pt>
                <c:pt idx="237">
                  <c:v>46249</c:v>
                </c:pt>
                <c:pt idx="238">
                  <c:v>46250</c:v>
                </c:pt>
                <c:pt idx="239">
                  <c:v>46251</c:v>
                </c:pt>
                <c:pt idx="240">
                  <c:v>46252</c:v>
                </c:pt>
                <c:pt idx="241">
                  <c:v>46253</c:v>
                </c:pt>
                <c:pt idx="242">
                  <c:v>46254</c:v>
                </c:pt>
                <c:pt idx="243">
                  <c:v>46255</c:v>
                </c:pt>
                <c:pt idx="244">
                  <c:v>46256</c:v>
                </c:pt>
                <c:pt idx="245">
                  <c:v>46257</c:v>
                </c:pt>
                <c:pt idx="246">
                  <c:v>46258</c:v>
                </c:pt>
                <c:pt idx="247">
                  <c:v>46259</c:v>
                </c:pt>
                <c:pt idx="248">
                  <c:v>46260</c:v>
                </c:pt>
                <c:pt idx="249">
                  <c:v>46261</c:v>
                </c:pt>
                <c:pt idx="250">
                  <c:v>46262</c:v>
                </c:pt>
                <c:pt idx="251">
                  <c:v>46263</c:v>
                </c:pt>
                <c:pt idx="252">
                  <c:v>46264</c:v>
                </c:pt>
                <c:pt idx="253">
                  <c:v>46265</c:v>
                </c:pt>
                <c:pt idx="254">
                  <c:v>46266</c:v>
                </c:pt>
                <c:pt idx="255">
                  <c:v>46267</c:v>
                </c:pt>
                <c:pt idx="256">
                  <c:v>46268</c:v>
                </c:pt>
                <c:pt idx="257">
                  <c:v>46269</c:v>
                </c:pt>
                <c:pt idx="258">
                  <c:v>46270</c:v>
                </c:pt>
                <c:pt idx="259">
                  <c:v>46271</c:v>
                </c:pt>
                <c:pt idx="260">
                  <c:v>46272</c:v>
                </c:pt>
                <c:pt idx="261">
                  <c:v>46273</c:v>
                </c:pt>
                <c:pt idx="262">
                  <c:v>46274</c:v>
                </c:pt>
                <c:pt idx="263">
                  <c:v>46275</c:v>
                </c:pt>
                <c:pt idx="264">
                  <c:v>46276</c:v>
                </c:pt>
                <c:pt idx="265">
                  <c:v>46277</c:v>
                </c:pt>
                <c:pt idx="266">
                  <c:v>46278</c:v>
                </c:pt>
                <c:pt idx="267">
                  <c:v>46279</c:v>
                </c:pt>
                <c:pt idx="268">
                  <c:v>46280</c:v>
                </c:pt>
                <c:pt idx="269">
                  <c:v>46281</c:v>
                </c:pt>
                <c:pt idx="270">
                  <c:v>46282</c:v>
                </c:pt>
                <c:pt idx="271">
                  <c:v>46283</c:v>
                </c:pt>
                <c:pt idx="272">
                  <c:v>46284</c:v>
                </c:pt>
                <c:pt idx="273">
                  <c:v>46285</c:v>
                </c:pt>
                <c:pt idx="274">
                  <c:v>46286</c:v>
                </c:pt>
                <c:pt idx="275">
                  <c:v>46287</c:v>
                </c:pt>
                <c:pt idx="276">
                  <c:v>46288</c:v>
                </c:pt>
                <c:pt idx="277">
                  <c:v>46289</c:v>
                </c:pt>
                <c:pt idx="278">
                  <c:v>46290</c:v>
                </c:pt>
                <c:pt idx="279">
                  <c:v>46291</c:v>
                </c:pt>
                <c:pt idx="280">
                  <c:v>46292</c:v>
                </c:pt>
                <c:pt idx="281">
                  <c:v>46293</c:v>
                </c:pt>
                <c:pt idx="282">
                  <c:v>46294</c:v>
                </c:pt>
                <c:pt idx="283">
                  <c:v>46295</c:v>
                </c:pt>
                <c:pt idx="284">
                  <c:v>46296</c:v>
                </c:pt>
                <c:pt idx="285">
                  <c:v>46297</c:v>
                </c:pt>
                <c:pt idx="286">
                  <c:v>46298</c:v>
                </c:pt>
                <c:pt idx="287">
                  <c:v>46299</c:v>
                </c:pt>
                <c:pt idx="288">
                  <c:v>46300</c:v>
                </c:pt>
                <c:pt idx="289">
                  <c:v>46301</c:v>
                </c:pt>
                <c:pt idx="290">
                  <c:v>46302</c:v>
                </c:pt>
                <c:pt idx="291">
                  <c:v>46303</c:v>
                </c:pt>
                <c:pt idx="292">
                  <c:v>46304</c:v>
                </c:pt>
                <c:pt idx="293">
                  <c:v>46305</c:v>
                </c:pt>
                <c:pt idx="294">
                  <c:v>46306</c:v>
                </c:pt>
                <c:pt idx="295">
                  <c:v>46307</c:v>
                </c:pt>
                <c:pt idx="296">
                  <c:v>46308</c:v>
                </c:pt>
                <c:pt idx="297">
                  <c:v>46309</c:v>
                </c:pt>
                <c:pt idx="298">
                  <c:v>46310</c:v>
                </c:pt>
                <c:pt idx="299">
                  <c:v>46311</c:v>
                </c:pt>
                <c:pt idx="300">
                  <c:v>46312</c:v>
                </c:pt>
                <c:pt idx="301">
                  <c:v>46313</c:v>
                </c:pt>
                <c:pt idx="302">
                  <c:v>46314</c:v>
                </c:pt>
                <c:pt idx="303">
                  <c:v>46315</c:v>
                </c:pt>
                <c:pt idx="304">
                  <c:v>46316</c:v>
                </c:pt>
                <c:pt idx="305">
                  <c:v>46317</c:v>
                </c:pt>
                <c:pt idx="306">
                  <c:v>46318</c:v>
                </c:pt>
                <c:pt idx="307">
                  <c:v>46319</c:v>
                </c:pt>
                <c:pt idx="308">
                  <c:v>46320</c:v>
                </c:pt>
                <c:pt idx="309">
                  <c:v>46321</c:v>
                </c:pt>
                <c:pt idx="310">
                  <c:v>46322</c:v>
                </c:pt>
                <c:pt idx="311">
                  <c:v>46323</c:v>
                </c:pt>
                <c:pt idx="312">
                  <c:v>46324</c:v>
                </c:pt>
                <c:pt idx="313">
                  <c:v>46325</c:v>
                </c:pt>
                <c:pt idx="314">
                  <c:v>46326</c:v>
                </c:pt>
                <c:pt idx="315">
                  <c:v>46327</c:v>
                </c:pt>
                <c:pt idx="316">
                  <c:v>46328</c:v>
                </c:pt>
                <c:pt idx="317">
                  <c:v>46329</c:v>
                </c:pt>
                <c:pt idx="318">
                  <c:v>46330</c:v>
                </c:pt>
                <c:pt idx="319">
                  <c:v>46331</c:v>
                </c:pt>
                <c:pt idx="320">
                  <c:v>46332</c:v>
                </c:pt>
                <c:pt idx="321">
                  <c:v>46333</c:v>
                </c:pt>
                <c:pt idx="322">
                  <c:v>46334</c:v>
                </c:pt>
                <c:pt idx="323">
                  <c:v>46335</c:v>
                </c:pt>
                <c:pt idx="324">
                  <c:v>46336</c:v>
                </c:pt>
                <c:pt idx="325">
                  <c:v>46337</c:v>
                </c:pt>
                <c:pt idx="326">
                  <c:v>46338</c:v>
                </c:pt>
                <c:pt idx="327">
                  <c:v>46339</c:v>
                </c:pt>
                <c:pt idx="328">
                  <c:v>46340</c:v>
                </c:pt>
                <c:pt idx="329">
                  <c:v>46341</c:v>
                </c:pt>
                <c:pt idx="330">
                  <c:v>46342</c:v>
                </c:pt>
                <c:pt idx="331">
                  <c:v>46343</c:v>
                </c:pt>
                <c:pt idx="332">
                  <c:v>46344</c:v>
                </c:pt>
                <c:pt idx="333">
                  <c:v>46345</c:v>
                </c:pt>
                <c:pt idx="334">
                  <c:v>46346</c:v>
                </c:pt>
                <c:pt idx="335">
                  <c:v>46347</c:v>
                </c:pt>
                <c:pt idx="336">
                  <c:v>46348</c:v>
                </c:pt>
                <c:pt idx="337">
                  <c:v>46349</c:v>
                </c:pt>
                <c:pt idx="338">
                  <c:v>46350</c:v>
                </c:pt>
                <c:pt idx="339">
                  <c:v>46351</c:v>
                </c:pt>
                <c:pt idx="340">
                  <c:v>46352</c:v>
                </c:pt>
                <c:pt idx="341">
                  <c:v>46353</c:v>
                </c:pt>
                <c:pt idx="342">
                  <c:v>46354</c:v>
                </c:pt>
                <c:pt idx="343">
                  <c:v>46355</c:v>
                </c:pt>
                <c:pt idx="344">
                  <c:v>46356</c:v>
                </c:pt>
                <c:pt idx="345">
                  <c:v>46357</c:v>
                </c:pt>
                <c:pt idx="346">
                  <c:v>46358</c:v>
                </c:pt>
                <c:pt idx="347">
                  <c:v>46359</c:v>
                </c:pt>
                <c:pt idx="348">
                  <c:v>46360</c:v>
                </c:pt>
                <c:pt idx="349">
                  <c:v>46361</c:v>
                </c:pt>
                <c:pt idx="350">
                  <c:v>46362</c:v>
                </c:pt>
                <c:pt idx="351">
                  <c:v>46363</c:v>
                </c:pt>
                <c:pt idx="352">
                  <c:v>46364</c:v>
                </c:pt>
                <c:pt idx="353">
                  <c:v>46365</c:v>
                </c:pt>
                <c:pt idx="354">
                  <c:v>46366</c:v>
                </c:pt>
                <c:pt idx="355">
                  <c:v>46367</c:v>
                </c:pt>
                <c:pt idx="356">
                  <c:v>46368</c:v>
                </c:pt>
                <c:pt idx="357">
                  <c:v>46369</c:v>
                </c:pt>
                <c:pt idx="358">
                  <c:v>46370</c:v>
                </c:pt>
                <c:pt idx="359">
                  <c:v>46371</c:v>
                </c:pt>
                <c:pt idx="360">
                  <c:v>46372</c:v>
                </c:pt>
                <c:pt idx="361">
                  <c:v>46373</c:v>
                </c:pt>
                <c:pt idx="362">
                  <c:v>46374</c:v>
                </c:pt>
                <c:pt idx="363">
                  <c:v>46375</c:v>
                </c:pt>
                <c:pt idx="364">
                  <c:v>46376</c:v>
                </c:pt>
                <c:pt idx="365">
                  <c:v>46377</c:v>
                </c:pt>
                <c:pt idx="366">
                  <c:v>46378</c:v>
                </c:pt>
                <c:pt idx="367">
                  <c:v>46379</c:v>
                </c:pt>
                <c:pt idx="368">
                  <c:v>46380</c:v>
                </c:pt>
                <c:pt idx="369">
                  <c:v>46381</c:v>
                </c:pt>
                <c:pt idx="370">
                  <c:v>46382</c:v>
                </c:pt>
                <c:pt idx="371">
                  <c:v>46383</c:v>
                </c:pt>
                <c:pt idx="372">
                  <c:v>46384</c:v>
                </c:pt>
                <c:pt idx="373">
                  <c:v>46385</c:v>
                </c:pt>
                <c:pt idx="374">
                  <c:v>46386</c:v>
                </c:pt>
                <c:pt idx="375">
                  <c:v>46387</c:v>
                </c:pt>
                <c:pt idx="376">
                  <c:v>46388</c:v>
                </c:pt>
                <c:pt idx="377">
                  <c:v>46389</c:v>
                </c:pt>
                <c:pt idx="378">
                  <c:v>46390</c:v>
                </c:pt>
                <c:pt idx="379">
                  <c:v>46391</c:v>
                </c:pt>
                <c:pt idx="380">
                  <c:v>46392</c:v>
                </c:pt>
                <c:pt idx="381">
                  <c:v>46393</c:v>
                </c:pt>
                <c:pt idx="382">
                  <c:v>46394</c:v>
                </c:pt>
                <c:pt idx="383">
                  <c:v>46395</c:v>
                </c:pt>
                <c:pt idx="384">
                  <c:v>46396</c:v>
                </c:pt>
                <c:pt idx="385">
                  <c:v>46397</c:v>
                </c:pt>
                <c:pt idx="386">
                  <c:v>46398</c:v>
                </c:pt>
                <c:pt idx="387">
                  <c:v>46399</c:v>
                </c:pt>
                <c:pt idx="388">
                  <c:v>46400</c:v>
                </c:pt>
                <c:pt idx="389">
                  <c:v>46401</c:v>
                </c:pt>
                <c:pt idx="390">
                  <c:v>46402</c:v>
                </c:pt>
                <c:pt idx="391">
                  <c:v>46403</c:v>
                </c:pt>
                <c:pt idx="392">
                  <c:v>46404</c:v>
                </c:pt>
                <c:pt idx="393">
                  <c:v>46405</c:v>
                </c:pt>
                <c:pt idx="394">
                  <c:v>46406</c:v>
                </c:pt>
                <c:pt idx="395">
                  <c:v>46407</c:v>
                </c:pt>
                <c:pt idx="396">
                  <c:v>46408</c:v>
                </c:pt>
                <c:pt idx="397">
                  <c:v>46409</c:v>
                </c:pt>
                <c:pt idx="398">
                  <c:v>46410</c:v>
                </c:pt>
                <c:pt idx="399">
                  <c:v>46411</c:v>
                </c:pt>
                <c:pt idx="400">
                  <c:v>46412</c:v>
                </c:pt>
                <c:pt idx="401">
                  <c:v>46413</c:v>
                </c:pt>
                <c:pt idx="402">
                  <c:v>46414</c:v>
                </c:pt>
                <c:pt idx="403">
                  <c:v>46415</c:v>
                </c:pt>
                <c:pt idx="404">
                  <c:v>46416</c:v>
                </c:pt>
                <c:pt idx="405">
                  <c:v>46417</c:v>
                </c:pt>
                <c:pt idx="406">
                  <c:v>46418</c:v>
                </c:pt>
                <c:pt idx="407">
                  <c:v>46419</c:v>
                </c:pt>
                <c:pt idx="408">
                  <c:v>46420</c:v>
                </c:pt>
                <c:pt idx="409">
                  <c:v>46421</c:v>
                </c:pt>
                <c:pt idx="410">
                  <c:v>46422</c:v>
                </c:pt>
                <c:pt idx="411">
                  <c:v>46423</c:v>
                </c:pt>
                <c:pt idx="412">
                  <c:v>46424</c:v>
                </c:pt>
                <c:pt idx="413">
                  <c:v>46425</c:v>
                </c:pt>
                <c:pt idx="414">
                  <c:v>46426</c:v>
                </c:pt>
                <c:pt idx="415">
                  <c:v>46427</c:v>
                </c:pt>
                <c:pt idx="416">
                  <c:v>46428</c:v>
                </c:pt>
                <c:pt idx="417">
                  <c:v>46429</c:v>
                </c:pt>
                <c:pt idx="418">
                  <c:v>46430</c:v>
                </c:pt>
                <c:pt idx="419">
                  <c:v>46431</c:v>
                </c:pt>
                <c:pt idx="420">
                  <c:v>46432</c:v>
                </c:pt>
                <c:pt idx="421">
                  <c:v>46433</c:v>
                </c:pt>
                <c:pt idx="422">
                  <c:v>46434</c:v>
                </c:pt>
                <c:pt idx="423">
                  <c:v>46435</c:v>
                </c:pt>
                <c:pt idx="424">
                  <c:v>46436</c:v>
                </c:pt>
                <c:pt idx="425">
                  <c:v>46437</c:v>
                </c:pt>
                <c:pt idx="426">
                  <c:v>46438</c:v>
                </c:pt>
                <c:pt idx="427">
                  <c:v>46439</c:v>
                </c:pt>
                <c:pt idx="428">
                  <c:v>46440</c:v>
                </c:pt>
                <c:pt idx="429">
                  <c:v>46441</c:v>
                </c:pt>
                <c:pt idx="430">
                  <c:v>46442</c:v>
                </c:pt>
                <c:pt idx="431">
                  <c:v>46443</c:v>
                </c:pt>
                <c:pt idx="432">
                  <c:v>46444</c:v>
                </c:pt>
                <c:pt idx="433">
                  <c:v>46445</c:v>
                </c:pt>
                <c:pt idx="434">
                  <c:v>46446</c:v>
                </c:pt>
                <c:pt idx="435">
                  <c:v>46447</c:v>
                </c:pt>
                <c:pt idx="436">
                  <c:v>46448</c:v>
                </c:pt>
                <c:pt idx="437">
                  <c:v>46449</c:v>
                </c:pt>
                <c:pt idx="438">
                  <c:v>46450</c:v>
                </c:pt>
                <c:pt idx="439">
                  <c:v>46451</c:v>
                </c:pt>
                <c:pt idx="440">
                  <c:v>46452</c:v>
                </c:pt>
                <c:pt idx="441">
                  <c:v>46453</c:v>
                </c:pt>
                <c:pt idx="442">
                  <c:v>46454</c:v>
                </c:pt>
                <c:pt idx="443">
                  <c:v>46455</c:v>
                </c:pt>
                <c:pt idx="444">
                  <c:v>46456</c:v>
                </c:pt>
                <c:pt idx="445">
                  <c:v>46457</c:v>
                </c:pt>
                <c:pt idx="446">
                  <c:v>46458</c:v>
                </c:pt>
                <c:pt idx="447">
                  <c:v>46459</c:v>
                </c:pt>
                <c:pt idx="448">
                  <c:v>46460</c:v>
                </c:pt>
                <c:pt idx="449">
                  <c:v>46461</c:v>
                </c:pt>
                <c:pt idx="450">
                  <c:v>46462</c:v>
                </c:pt>
                <c:pt idx="451">
                  <c:v>46463</c:v>
                </c:pt>
                <c:pt idx="452">
                  <c:v>46464</c:v>
                </c:pt>
                <c:pt idx="453">
                  <c:v>46465</c:v>
                </c:pt>
                <c:pt idx="454">
                  <c:v>46466</c:v>
                </c:pt>
                <c:pt idx="455">
                  <c:v>46467</c:v>
                </c:pt>
                <c:pt idx="456">
                  <c:v>46468</c:v>
                </c:pt>
                <c:pt idx="457">
                  <c:v>46469</c:v>
                </c:pt>
                <c:pt idx="458">
                  <c:v>46470</c:v>
                </c:pt>
                <c:pt idx="459">
                  <c:v>46471</c:v>
                </c:pt>
                <c:pt idx="460">
                  <c:v>46472</c:v>
                </c:pt>
                <c:pt idx="461">
                  <c:v>46473</c:v>
                </c:pt>
                <c:pt idx="462">
                  <c:v>46474</c:v>
                </c:pt>
                <c:pt idx="463">
                  <c:v>46475</c:v>
                </c:pt>
                <c:pt idx="464">
                  <c:v>46476</c:v>
                </c:pt>
                <c:pt idx="465">
                  <c:v>46477</c:v>
                </c:pt>
                <c:pt idx="466">
                  <c:v>46478</c:v>
                </c:pt>
                <c:pt idx="467">
                  <c:v>46479</c:v>
                </c:pt>
                <c:pt idx="468">
                  <c:v>46480</c:v>
                </c:pt>
                <c:pt idx="469">
                  <c:v>46481</c:v>
                </c:pt>
                <c:pt idx="470">
                  <c:v>46482</c:v>
                </c:pt>
                <c:pt idx="471">
                  <c:v>46483</c:v>
                </c:pt>
                <c:pt idx="472">
                  <c:v>46484</c:v>
                </c:pt>
                <c:pt idx="473">
                  <c:v>46485</c:v>
                </c:pt>
                <c:pt idx="474">
                  <c:v>46486</c:v>
                </c:pt>
                <c:pt idx="475">
                  <c:v>46487</c:v>
                </c:pt>
                <c:pt idx="476">
                  <c:v>46488</c:v>
                </c:pt>
                <c:pt idx="477">
                  <c:v>46489</c:v>
                </c:pt>
                <c:pt idx="478">
                  <c:v>46490</c:v>
                </c:pt>
                <c:pt idx="479">
                  <c:v>46491</c:v>
                </c:pt>
                <c:pt idx="480">
                  <c:v>46492</c:v>
                </c:pt>
                <c:pt idx="481">
                  <c:v>46493</c:v>
                </c:pt>
                <c:pt idx="482">
                  <c:v>46494</c:v>
                </c:pt>
                <c:pt idx="483">
                  <c:v>46495</c:v>
                </c:pt>
                <c:pt idx="484">
                  <c:v>46496</c:v>
                </c:pt>
                <c:pt idx="485">
                  <c:v>46497</c:v>
                </c:pt>
                <c:pt idx="486">
                  <c:v>46498</c:v>
                </c:pt>
                <c:pt idx="487">
                  <c:v>46499</c:v>
                </c:pt>
                <c:pt idx="488">
                  <c:v>46500</c:v>
                </c:pt>
                <c:pt idx="489">
                  <c:v>46501</c:v>
                </c:pt>
                <c:pt idx="490">
                  <c:v>46502</c:v>
                </c:pt>
                <c:pt idx="491">
                  <c:v>46503</c:v>
                </c:pt>
                <c:pt idx="492">
                  <c:v>46504</c:v>
                </c:pt>
                <c:pt idx="493">
                  <c:v>46505</c:v>
                </c:pt>
                <c:pt idx="494">
                  <c:v>46506</c:v>
                </c:pt>
                <c:pt idx="495">
                  <c:v>46507</c:v>
                </c:pt>
                <c:pt idx="496">
                  <c:v>46508</c:v>
                </c:pt>
                <c:pt idx="497">
                  <c:v>46509</c:v>
                </c:pt>
                <c:pt idx="498">
                  <c:v>46510</c:v>
                </c:pt>
                <c:pt idx="499">
                  <c:v>46511</c:v>
                </c:pt>
                <c:pt idx="500">
                  <c:v>46512</c:v>
                </c:pt>
                <c:pt idx="501">
                  <c:v>46513</c:v>
                </c:pt>
                <c:pt idx="502">
                  <c:v>46514</c:v>
                </c:pt>
                <c:pt idx="503">
                  <c:v>46515</c:v>
                </c:pt>
                <c:pt idx="504">
                  <c:v>46516</c:v>
                </c:pt>
                <c:pt idx="505">
                  <c:v>46517</c:v>
                </c:pt>
                <c:pt idx="506">
                  <c:v>46518</c:v>
                </c:pt>
                <c:pt idx="507">
                  <c:v>46519</c:v>
                </c:pt>
                <c:pt idx="508">
                  <c:v>46520</c:v>
                </c:pt>
                <c:pt idx="509">
                  <c:v>46521</c:v>
                </c:pt>
                <c:pt idx="510">
                  <c:v>46522</c:v>
                </c:pt>
                <c:pt idx="511">
                  <c:v>46523</c:v>
                </c:pt>
                <c:pt idx="512">
                  <c:v>46524</c:v>
                </c:pt>
                <c:pt idx="513">
                  <c:v>46525</c:v>
                </c:pt>
                <c:pt idx="514">
                  <c:v>46526</c:v>
                </c:pt>
                <c:pt idx="515">
                  <c:v>46527</c:v>
                </c:pt>
                <c:pt idx="516">
                  <c:v>46528</c:v>
                </c:pt>
                <c:pt idx="517">
                  <c:v>46529</c:v>
                </c:pt>
                <c:pt idx="518">
                  <c:v>46530</c:v>
                </c:pt>
                <c:pt idx="519">
                  <c:v>46531</c:v>
                </c:pt>
                <c:pt idx="520">
                  <c:v>46532</c:v>
                </c:pt>
                <c:pt idx="521">
                  <c:v>46533</c:v>
                </c:pt>
                <c:pt idx="522">
                  <c:v>46534</c:v>
                </c:pt>
                <c:pt idx="523">
                  <c:v>46535</c:v>
                </c:pt>
                <c:pt idx="524">
                  <c:v>46536</c:v>
                </c:pt>
                <c:pt idx="525">
                  <c:v>46537</c:v>
                </c:pt>
                <c:pt idx="526">
                  <c:v>46538</c:v>
                </c:pt>
                <c:pt idx="527">
                  <c:v>46539</c:v>
                </c:pt>
                <c:pt idx="528">
                  <c:v>46540</c:v>
                </c:pt>
                <c:pt idx="529">
                  <c:v>46541</c:v>
                </c:pt>
                <c:pt idx="530">
                  <c:v>46542</c:v>
                </c:pt>
                <c:pt idx="531">
                  <c:v>46543</c:v>
                </c:pt>
                <c:pt idx="532">
                  <c:v>46544</c:v>
                </c:pt>
                <c:pt idx="533">
                  <c:v>46545</c:v>
                </c:pt>
                <c:pt idx="534">
                  <c:v>46546</c:v>
                </c:pt>
                <c:pt idx="535">
                  <c:v>46547</c:v>
                </c:pt>
                <c:pt idx="536">
                  <c:v>46548</c:v>
                </c:pt>
                <c:pt idx="537">
                  <c:v>46549</c:v>
                </c:pt>
                <c:pt idx="538">
                  <c:v>46550</c:v>
                </c:pt>
                <c:pt idx="539">
                  <c:v>46551</c:v>
                </c:pt>
                <c:pt idx="540">
                  <c:v>46552</c:v>
                </c:pt>
                <c:pt idx="541">
                  <c:v>46553</c:v>
                </c:pt>
                <c:pt idx="542">
                  <c:v>46554</c:v>
                </c:pt>
                <c:pt idx="543">
                  <c:v>46555</c:v>
                </c:pt>
                <c:pt idx="544">
                  <c:v>46556</c:v>
                </c:pt>
                <c:pt idx="545">
                  <c:v>46557</c:v>
                </c:pt>
                <c:pt idx="546">
                  <c:v>46558</c:v>
                </c:pt>
                <c:pt idx="547">
                  <c:v>46559</c:v>
                </c:pt>
                <c:pt idx="548">
                  <c:v>46560</c:v>
                </c:pt>
                <c:pt idx="549">
                  <c:v>46561</c:v>
                </c:pt>
                <c:pt idx="550">
                  <c:v>46562</c:v>
                </c:pt>
                <c:pt idx="551">
                  <c:v>46563</c:v>
                </c:pt>
                <c:pt idx="552">
                  <c:v>46564</c:v>
                </c:pt>
                <c:pt idx="553">
                  <c:v>46565</c:v>
                </c:pt>
                <c:pt idx="554">
                  <c:v>46566</c:v>
                </c:pt>
                <c:pt idx="555">
                  <c:v>46567</c:v>
                </c:pt>
                <c:pt idx="556">
                  <c:v>46568</c:v>
                </c:pt>
                <c:pt idx="557">
                  <c:v>46569</c:v>
                </c:pt>
                <c:pt idx="558">
                  <c:v>46570</c:v>
                </c:pt>
                <c:pt idx="559">
                  <c:v>46571</c:v>
                </c:pt>
                <c:pt idx="560">
                  <c:v>46572</c:v>
                </c:pt>
                <c:pt idx="561">
                  <c:v>46573</c:v>
                </c:pt>
                <c:pt idx="562">
                  <c:v>46574</c:v>
                </c:pt>
                <c:pt idx="563">
                  <c:v>46575</c:v>
                </c:pt>
                <c:pt idx="564">
                  <c:v>46576</c:v>
                </c:pt>
                <c:pt idx="565">
                  <c:v>46577</c:v>
                </c:pt>
                <c:pt idx="566">
                  <c:v>46578</c:v>
                </c:pt>
                <c:pt idx="567">
                  <c:v>46579</c:v>
                </c:pt>
                <c:pt idx="568">
                  <c:v>46580</c:v>
                </c:pt>
                <c:pt idx="569">
                  <c:v>46581</c:v>
                </c:pt>
                <c:pt idx="570">
                  <c:v>46582</c:v>
                </c:pt>
                <c:pt idx="571">
                  <c:v>46583</c:v>
                </c:pt>
                <c:pt idx="572">
                  <c:v>46584</c:v>
                </c:pt>
                <c:pt idx="573">
                  <c:v>46585</c:v>
                </c:pt>
                <c:pt idx="574">
                  <c:v>46586</c:v>
                </c:pt>
                <c:pt idx="575">
                  <c:v>46587</c:v>
                </c:pt>
                <c:pt idx="576">
                  <c:v>46588</c:v>
                </c:pt>
                <c:pt idx="577">
                  <c:v>46589</c:v>
                </c:pt>
                <c:pt idx="578">
                  <c:v>46590</c:v>
                </c:pt>
                <c:pt idx="579">
                  <c:v>46591</c:v>
                </c:pt>
                <c:pt idx="580">
                  <c:v>46592</c:v>
                </c:pt>
                <c:pt idx="581">
                  <c:v>46593</c:v>
                </c:pt>
                <c:pt idx="582">
                  <c:v>46594</c:v>
                </c:pt>
                <c:pt idx="583">
                  <c:v>46595</c:v>
                </c:pt>
                <c:pt idx="584">
                  <c:v>46596</c:v>
                </c:pt>
                <c:pt idx="585">
                  <c:v>46597</c:v>
                </c:pt>
                <c:pt idx="586">
                  <c:v>46598</c:v>
                </c:pt>
                <c:pt idx="587">
                  <c:v>46599</c:v>
                </c:pt>
                <c:pt idx="588">
                  <c:v>46600</c:v>
                </c:pt>
                <c:pt idx="589">
                  <c:v>46601</c:v>
                </c:pt>
                <c:pt idx="590">
                  <c:v>46602</c:v>
                </c:pt>
                <c:pt idx="591">
                  <c:v>46603</c:v>
                </c:pt>
                <c:pt idx="592">
                  <c:v>46604</c:v>
                </c:pt>
                <c:pt idx="593">
                  <c:v>46605</c:v>
                </c:pt>
                <c:pt idx="594">
                  <c:v>46606</c:v>
                </c:pt>
                <c:pt idx="595">
                  <c:v>46607</c:v>
                </c:pt>
                <c:pt idx="596">
                  <c:v>46608</c:v>
                </c:pt>
                <c:pt idx="597">
                  <c:v>46609</c:v>
                </c:pt>
                <c:pt idx="598">
                  <c:v>46610</c:v>
                </c:pt>
                <c:pt idx="599">
                  <c:v>46611</c:v>
                </c:pt>
                <c:pt idx="600">
                  <c:v>46612</c:v>
                </c:pt>
                <c:pt idx="601">
                  <c:v>46613</c:v>
                </c:pt>
                <c:pt idx="602">
                  <c:v>46614</c:v>
                </c:pt>
                <c:pt idx="603">
                  <c:v>46615</c:v>
                </c:pt>
                <c:pt idx="604">
                  <c:v>46616</c:v>
                </c:pt>
                <c:pt idx="605">
                  <c:v>46617</c:v>
                </c:pt>
                <c:pt idx="606">
                  <c:v>46618</c:v>
                </c:pt>
                <c:pt idx="607">
                  <c:v>46619</c:v>
                </c:pt>
                <c:pt idx="608">
                  <c:v>46620</c:v>
                </c:pt>
                <c:pt idx="609">
                  <c:v>46621</c:v>
                </c:pt>
                <c:pt idx="610">
                  <c:v>46622</c:v>
                </c:pt>
                <c:pt idx="611">
                  <c:v>46623</c:v>
                </c:pt>
                <c:pt idx="612">
                  <c:v>46624</c:v>
                </c:pt>
                <c:pt idx="613">
                  <c:v>46625</c:v>
                </c:pt>
                <c:pt idx="614">
                  <c:v>46626</c:v>
                </c:pt>
                <c:pt idx="615">
                  <c:v>46627</c:v>
                </c:pt>
                <c:pt idx="616">
                  <c:v>46628</c:v>
                </c:pt>
                <c:pt idx="617">
                  <c:v>46629</c:v>
                </c:pt>
                <c:pt idx="618">
                  <c:v>46630</c:v>
                </c:pt>
                <c:pt idx="619">
                  <c:v>46631</c:v>
                </c:pt>
                <c:pt idx="620">
                  <c:v>46632</c:v>
                </c:pt>
                <c:pt idx="621">
                  <c:v>46633</c:v>
                </c:pt>
                <c:pt idx="622">
                  <c:v>46634</c:v>
                </c:pt>
                <c:pt idx="623">
                  <c:v>46635</c:v>
                </c:pt>
                <c:pt idx="624">
                  <c:v>46636</c:v>
                </c:pt>
                <c:pt idx="625">
                  <c:v>46637</c:v>
                </c:pt>
                <c:pt idx="626">
                  <c:v>46638</c:v>
                </c:pt>
                <c:pt idx="627">
                  <c:v>46639</c:v>
                </c:pt>
                <c:pt idx="628">
                  <c:v>46640</c:v>
                </c:pt>
                <c:pt idx="629">
                  <c:v>46641</c:v>
                </c:pt>
                <c:pt idx="630">
                  <c:v>46642</c:v>
                </c:pt>
                <c:pt idx="631">
                  <c:v>46643</c:v>
                </c:pt>
                <c:pt idx="632">
                  <c:v>46644</c:v>
                </c:pt>
                <c:pt idx="633">
                  <c:v>46645</c:v>
                </c:pt>
                <c:pt idx="634">
                  <c:v>46646</c:v>
                </c:pt>
                <c:pt idx="635">
                  <c:v>46647</c:v>
                </c:pt>
                <c:pt idx="636">
                  <c:v>46648</c:v>
                </c:pt>
                <c:pt idx="637">
                  <c:v>46649</c:v>
                </c:pt>
                <c:pt idx="638">
                  <c:v>46650</c:v>
                </c:pt>
                <c:pt idx="639">
                  <c:v>46651</c:v>
                </c:pt>
                <c:pt idx="640">
                  <c:v>46652</c:v>
                </c:pt>
                <c:pt idx="641">
                  <c:v>46653</c:v>
                </c:pt>
                <c:pt idx="642">
                  <c:v>46654</c:v>
                </c:pt>
                <c:pt idx="643">
                  <c:v>46655</c:v>
                </c:pt>
                <c:pt idx="644">
                  <c:v>46656</c:v>
                </c:pt>
                <c:pt idx="645">
                  <c:v>46657</c:v>
                </c:pt>
                <c:pt idx="646">
                  <c:v>46658</c:v>
                </c:pt>
                <c:pt idx="647">
                  <c:v>46659</c:v>
                </c:pt>
                <c:pt idx="648">
                  <c:v>46660</c:v>
                </c:pt>
                <c:pt idx="649">
                  <c:v>46661</c:v>
                </c:pt>
                <c:pt idx="650">
                  <c:v>46662</c:v>
                </c:pt>
                <c:pt idx="651">
                  <c:v>46663</c:v>
                </c:pt>
                <c:pt idx="652">
                  <c:v>46664</c:v>
                </c:pt>
                <c:pt idx="653">
                  <c:v>46665</c:v>
                </c:pt>
                <c:pt idx="654">
                  <c:v>46666</c:v>
                </c:pt>
                <c:pt idx="655">
                  <c:v>46667</c:v>
                </c:pt>
                <c:pt idx="656">
                  <c:v>46668</c:v>
                </c:pt>
                <c:pt idx="657">
                  <c:v>46669</c:v>
                </c:pt>
                <c:pt idx="658">
                  <c:v>46670</c:v>
                </c:pt>
                <c:pt idx="659">
                  <c:v>46671</c:v>
                </c:pt>
                <c:pt idx="660">
                  <c:v>46672</c:v>
                </c:pt>
                <c:pt idx="661">
                  <c:v>46673</c:v>
                </c:pt>
                <c:pt idx="662">
                  <c:v>46674</c:v>
                </c:pt>
                <c:pt idx="663">
                  <c:v>46675</c:v>
                </c:pt>
                <c:pt idx="664">
                  <c:v>46676</c:v>
                </c:pt>
                <c:pt idx="665">
                  <c:v>46677</c:v>
                </c:pt>
                <c:pt idx="666">
                  <c:v>46678</c:v>
                </c:pt>
                <c:pt idx="667">
                  <c:v>46679</c:v>
                </c:pt>
                <c:pt idx="668">
                  <c:v>46680</c:v>
                </c:pt>
                <c:pt idx="669">
                  <c:v>46681</c:v>
                </c:pt>
                <c:pt idx="670">
                  <c:v>46682</c:v>
                </c:pt>
                <c:pt idx="671">
                  <c:v>46683</c:v>
                </c:pt>
                <c:pt idx="672">
                  <c:v>46684</c:v>
                </c:pt>
                <c:pt idx="673">
                  <c:v>46685</c:v>
                </c:pt>
                <c:pt idx="674">
                  <c:v>46686</c:v>
                </c:pt>
                <c:pt idx="675">
                  <c:v>46687</c:v>
                </c:pt>
                <c:pt idx="676">
                  <c:v>46688</c:v>
                </c:pt>
                <c:pt idx="677">
                  <c:v>46689</c:v>
                </c:pt>
                <c:pt idx="678">
                  <c:v>46690</c:v>
                </c:pt>
                <c:pt idx="679">
                  <c:v>46691</c:v>
                </c:pt>
                <c:pt idx="680">
                  <c:v>46692</c:v>
                </c:pt>
                <c:pt idx="681">
                  <c:v>46693</c:v>
                </c:pt>
                <c:pt idx="682">
                  <c:v>46694</c:v>
                </c:pt>
                <c:pt idx="683">
                  <c:v>46695</c:v>
                </c:pt>
                <c:pt idx="684">
                  <c:v>46696</c:v>
                </c:pt>
                <c:pt idx="685">
                  <c:v>46697</c:v>
                </c:pt>
                <c:pt idx="686">
                  <c:v>46698</c:v>
                </c:pt>
                <c:pt idx="687">
                  <c:v>46699</c:v>
                </c:pt>
                <c:pt idx="688">
                  <c:v>46700</c:v>
                </c:pt>
                <c:pt idx="689">
                  <c:v>46701</c:v>
                </c:pt>
                <c:pt idx="690">
                  <c:v>46702</c:v>
                </c:pt>
                <c:pt idx="691">
                  <c:v>46703</c:v>
                </c:pt>
                <c:pt idx="692">
                  <c:v>46704</c:v>
                </c:pt>
                <c:pt idx="693">
                  <c:v>46705</c:v>
                </c:pt>
                <c:pt idx="694">
                  <c:v>46706</c:v>
                </c:pt>
                <c:pt idx="695">
                  <c:v>46707</c:v>
                </c:pt>
                <c:pt idx="696">
                  <c:v>46708</c:v>
                </c:pt>
                <c:pt idx="697">
                  <c:v>46709</c:v>
                </c:pt>
                <c:pt idx="698">
                  <c:v>46710</c:v>
                </c:pt>
                <c:pt idx="699">
                  <c:v>46711</c:v>
                </c:pt>
                <c:pt idx="700">
                  <c:v>46712</c:v>
                </c:pt>
                <c:pt idx="701">
                  <c:v>46713</c:v>
                </c:pt>
                <c:pt idx="702">
                  <c:v>46714</c:v>
                </c:pt>
                <c:pt idx="703">
                  <c:v>46715</c:v>
                </c:pt>
                <c:pt idx="704">
                  <c:v>46716</c:v>
                </c:pt>
                <c:pt idx="705">
                  <c:v>46717</c:v>
                </c:pt>
                <c:pt idx="706">
                  <c:v>46718</c:v>
                </c:pt>
                <c:pt idx="707">
                  <c:v>46719</c:v>
                </c:pt>
                <c:pt idx="708">
                  <c:v>46720</c:v>
                </c:pt>
                <c:pt idx="709">
                  <c:v>46721</c:v>
                </c:pt>
                <c:pt idx="710">
                  <c:v>46722</c:v>
                </c:pt>
                <c:pt idx="711">
                  <c:v>46723</c:v>
                </c:pt>
                <c:pt idx="712">
                  <c:v>46724</c:v>
                </c:pt>
                <c:pt idx="713">
                  <c:v>46725</c:v>
                </c:pt>
                <c:pt idx="714">
                  <c:v>46726</c:v>
                </c:pt>
                <c:pt idx="715">
                  <c:v>46727</c:v>
                </c:pt>
                <c:pt idx="716">
                  <c:v>46728</c:v>
                </c:pt>
                <c:pt idx="717">
                  <c:v>46729</c:v>
                </c:pt>
                <c:pt idx="718">
                  <c:v>46730</c:v>
                </c:pt>
                <c:pt idx="719">
                  <c:v>46731</c:v>
                </c:pt>
              </c:numCache>
            </c:numRef>
          </c:cat>
          <c:val>
            <c:numRef>
              <c:f>HHS_Unaccompanied_Alien_Childre!$E$2:$E$722</c:f>
              <c:numCache>
                <c:formatCode>General</c:formatCode>
                <c:ptCount val="721"/>
                <c:pt idx="0">
                  <c:v>11</c:v>
                </c:pt>
                <c:pt idx="1">
                  <c:v>6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13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10</c:v>
                </c:pt>
                <c:pt idx="16">
                  <c:v>8</c:v>
                </c:pt>
                <c:pt idx="17">
                  <c:v>14</c:v>
                </c:pt>
                <c:pt idx="18">
                  <c:v>9</c:v>
                </c:pt>
                <c:pt idx="19">
                  <c:v>22</c:v>
                </c:pt>
                <c:pt idx="20">
                  <c:v>8</c:v>
                </c:pt>
                <c:pt idx="21">
                  <c:v>3</c:v>
                </c:pt>
                <c:pt idx="22">
                  <c:v>8</c:v>
                </c:pt>
                <c:pt idx="23">
                  <c:v>6</c:v>
                </c:pt>
                <c:pt idx="24">
                  <c:v>3</c:v>
                </c:pt>
                <c:pt idx="25">
                  <c:v>16</c:v>
                </c:pt>
                <c:pt idx="26">
                  <c:v>20</c:v>
                </c:pt>
                <c:pt idx="27">
                  <c:v>12</c:v>
                </c:pt>
                <c:pt idx="28">
                  <c:v>5</c:v>
                </c:pt>
                <c:pt idx="29">
                  <c:v>9</c:v>
                </c:pt>
                <c:pt idx="30">
                  <c:v>8</c:v>
                </c:pt>
                <c:pt idx="31">
                  <c:v>6</c:v>
                </c:pt>
                <c:pt idx="32">
                  <c:v>5</c:v>
                </c:pt>
                <c:pt idx="33">
                  <c:v>10</c:v>
                </c:pt>
                <c:pt idx="34">
                  <c:v>14</c:v>
                </c:pt>
                <c:pt idx="35">
                  <c:v>4</c:v>
                </c:pt>
                <c:pt idx="36">
                  <c:v>11</c:v>
                </c:pt>
                <c:pt idx="37">
                  <c:v>8</c:v>
                </c:pt>
                <c:pt idx="38">
                  <c:v>12</c:v>
                </c:pt>
                <c:pt idx="39">
                  <c:v>26</c:v>
                </c:pt>
                <c:pt idx="40">
                  <c:v>13</c:v>
                </c:pt>
                <c:pt idx="41">
                  <c:v>17</c:v>
                </c:pt>
                <c:pt idx="42">
                  <c:v>6</c:v>
                </c:pt>
                <c:pt idx="43">
                  <c:v>17</c:v>
                </c:pt>
                <c:pt idx="44">
                  <c:v>15</c:v>
                </c:pt>
                <c:pt idx="45">
                  <c:v>10</c:v>
                </c:pt>
                <c:pt idx="46">
                  <c:v>16</c:v>
                </c:pt>
                <c:pt idx="47">
                  <c:v>7</c:v>
                </c:pt>
                <c:pt idx="48">
                  <c:v>13</c:v>
                </c:pt>
                <c:pt idx="49">
                  <c:v>15</c:v>
                </c:pt>
                <c:pt idx="50">
                  <c:v>4</c:v>
                </c:pt>
                <c:pt idx="51">
                  <c:v>15</c:v>
                </c:pt>
                <c:pt idx="52">
                  <c:v>13</c:v>
                </c:pt>
                <c:pt idx="53">
                  <c:v>15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10</c:v>
                </c:pt>
                <c:pt idx="61">
                  <c:v>14</c:v>
                </c:pt>
                <c:pt idx="62">
                  <c:v>13</c:v>
                </c:pt>
                <c:pt idx="63">
                  <c:v>11</c:v>
                </c:pt>
                <c:pt idx="64">
                  <c:v>5</c:v>
                </c:pt>
                <c:pt idx="65">
                  <c:v>17</c:v>
                </c:pt>
                <c:pt idx="66">
                  <c:v>10</c:v>
                </c:pt>
                <c:pt idx="67">
                  <c:v>13</c:v>
                </c:pt>
                <c:pt idx="68">
                  <c:v>29</c:v>
                </c:pt>
                <c:pt idx="69">
                  <c:v>14</c:v>
                </c:pt>
                <c:pt idx="70">
                  <c:v>11</c:v>
                </c:pt>
                <c:pt idx="71">
                  <c:v>5</c:v>
                </c:pt>
                <c:pt idx="72">
                  <c:v>9</c:v>
                </c:pt>
                <c:pt idx="73">
                  <c:v>2</c:v>
                </c:pt>
                <c:pt idx="74">
                  <c:v>11</c:v>
                </c:pt>
                <c:pt idx="75">
                  <c:v>9</c:v>
                </c:pt>
                <c:pt idx="76">
                  <c:v>17</c:v>
                </c:pt>
                <c:pt idx="77">
                  <c:v>6</c:v>
                </c:pt>
                <c:pt idx="78">
                  <c:v>9</c:v>
                </c:pt>
                <c:pt idx="79">
                  <c:v>20</c:v>
                </c:pt>
                <c:pt idx="80">
                  <c:v>8</c:v>
                </c:pt>
                <c:pt idx="81">
                  <c:v>5</c:v>
                </c:pt>
                <c:pt idx="82">
                  <c:v>8</c:v>
                </c:pt>
                <c:pt idx="83">
                  <c:v>10</c:v>
                </c:pt>
                <c:pt idx="84">
                  <c:v>3</c:v>
                </c:pt>
                <c:pt idx="85">
                  <c:v>6</c:v>
                </c:pt>
                <c:pt idx="86">
                  <c:v>2</c:v>
                </c:pt>
                <c:pt idx="87">
                  <c:v>4</c:v>
                </c:pt>
                <c:pt idx="88">
                  <c:v>12</c:v>
                </c:pt>
                <c:pt idx="89">
                  <c:v>9</c:v>
                </c:pt>
                <c:pt idx="90">
                  <c:v>4</c:v>
                </c:pt>
                <c:pt idx="91">
                  <c:v>8</c:v>
                </c:pt>
                <c:pt idx="92">
                  <c:v>6</c:v>
                </c:pt>
                <c:pt idx="93">
                  <c:v>3</c:v>
                </c:pt>
                <c:pt idx="94">
                  <c:v>10</c:v>
                </c:pt>
                <c:pt idx="95">
                  <c:v>11</c:v>
                </c:pt>
                <c:pt idx="96">
                  <c:v>3</c:v>
                </c:pt>
                <c:pt idx="97">
                  <c:v>6</c:v>
                </c:pt>
                <c:pt idx="98">
                  <c:v>4</c:v>
                </c:pt>
                <c:pt idx="99">
                  <c:v>3</c:v>
                </c:pt>
                <c:pt idx="100">
                  <c:v>3</c:v>
                </c:pt>
                <c:pt idx="101">
                  <c:v>2</c:v>
                </c:pt>
                <c:pt idx="102">
                  <c:v>7</c:v>
                </c:pt>
                <c:pt idx="103">
                  <c:v>5</c:v>
                </c:pt>
                <c:pt idx="104">
                  <c:v>3</c:v>
                </c:pt>
                <c:pt idx="105">
                  <c:v>7</c:v>
                </c:pt>
                <c:pt idx="106">
                  <c:v>2</c:v>
                </c:pt>
                <c:pt idx="107">
                  <c:v>0</c:v>
                </c:pt>
                <c:pt idx="108">
                  <c:v>5</c:v>
                </c:pt>
                <c:pt idx="109">
                  <c:v>1</c:v>
                </c:pt>
                <c:pt idx="110">
                  <c:v>4</c:v>
                </c:pt>
                <c:pt idx="111">
                  <c:v>3</c:v>
                </c:pt>
                <c:pt idx="112">
                  <c:v>0</c:v>
                </c:pt>
                <c:pt idx="113">
                  <c:v>8</c:v>
                </c:pt>
                <c:pt idx="114">
                  <c:v>8</c:v>
                </c:pt>
                <c:pt idx="115">
                  <c:v>2</c:v>
                </c:pt>
                <c:pt idx="116">
                  <c:v>9</c:v>
                </c:pt>
                <c:pt idx="117">
                  <c:v>6</c:v>
                </c:pt>
                <c:pt idx="118">
                  <c:v>8</c:v>
                </c:pt>
                <c:pt idx="119">
                  <c:v>7</c:v>
                </c:pt>
                <c:pt idx="120">
                  <c:v>7</c:v>
                </c:pt>
                <c:pt idx="121">
                  <c:v>2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7</c:v>
                </c:pt>
                <c:pt idx="126">
                  <c:v>10</c:v>
                </c:pt>
                <c:pt idx="127">
                  <c:v>7</c:v>
                </c:pt>
                <c:pt idx="128">
                  <c:v>14</c:v>
                </c:pt>
                <c:pt idx="129">
                  <c:v>15</c:v>
                </c:pt>
                <c:pt idx="130">
                  <c:v>5</c:v>
                </c:pt>
                <c:pt idx="131">
                  <c:v>9</c:v>
                </c:pt>
                <c:pt idx="132">
                  <c:v>11</c:v>
                </c:pt>
                <c:pt idx="133">
                  <c:v>5</c:v>
                </c:pt>
                <c:pt idx="134">
                  <c:v>16</c:v>
                </c:pt>
                <c:pt idx="135">
                  <c:v>15</c:v>
                </c:pt>
                <c:pt idx="136">
                  <c:v>12</c:v>
                </c:pt>
                <c:pt idx="137">
                  <c:v>7</c:v>
                </c:pt>
                <c:pt idx="138">
                  <c:v>17</c:v>
                </c:pt>
                <c:pt idx="139">
                  <c:v>13</c:v>
                </c:pt>
                <c:pt idx="140">
                  <c:v>17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12</c:v>
                </c:pt>
                <c:pt idx="145">
                  <c:v>14</c:v>
                </c:pt>
                <c:pt idx="146">
                  <c:v>12</c:v>
                </c:pt>
                <c:pt idx="147">
                  <c:v>16</c:v>
                </c:pt>
                <c:pt idx="148">
                  <c:v>15</c:v>
                </c:pt>
                <c:pt idx="149">
                  <c:v>16</c:v>
                </c:pt>
                <c:pt idx="150">
                  <c:v>20</c:v>
                </c:pt>
                <c:pt idx="151">
                  <c:v>10</c:v>
                </c:pt>
                <c:pt idx="152">
                  <c:v>14</c:v>
                </c:pt>
                <c:pt idx="153">
                  <c:v>9</c:v>
                </c:pt>
                <c:pt idx="154">
                  <c:v>11</c:v>
                </c:pt>
                <c:pt idx="155">
                  <c:v>12</c:v>
                </c:pt>
                <c:pt idx="156">
                  <c:v>12</c:v>
                </c:pt>
                <c:pt idx="157">
                  <c:v>7</c:v>
                </c:pt>
                <c:pt idx="158">
                  <c:v>4</c:v>
                </c:pt>
                <c:pt idx="159">
                  <c:v>14</c:v>
                </c:pt>
                <c:pt idx="160">
                  <c:v>5</c:v>
                </c:pt>
                <c:pt idx="161">
                  <c:v>6</c:v>
                </c:pt>
                <c:pt idx="162">
                  <c:v>10</c:v>
                </c:pt>
                <c:pt idx="163">
                  <c:v>5</c:v>
                </c:pt>
                <c:pt idx="164">
                  <c:v>12</c:v>
                </c:pt>
                <c:pt idx="165">
                  <c:v>9</c:v>
                </c:pt>
                <c:pt idx="166">
                  <c:v>10</c:v>
                </c:pt>
                <c:pt idx="167">
                  <c:v>8</c:v>
                </c:pt>
                <c:pt idx="168">
                  <c:v>17</c:v>
                </c:pt>
                <c:pt idx="169">
                  <c:v>10</c:v>
                </c:pt>
                <c:pt idx="170">
                  <c:v>12</c:v>
                </c:pt>
                <c:pt idx="171">
                  <c:v>9</c:v>
                </c:pt>
                <c:pt idx="172">
                  <c:v>7</c:v>
                </c:pt>
                <c:pt idx="173">
                  <c:v>18</c:v>
                </c:pt>
                <c:pt idx="174">
                  <c:v>16</c:v>
                </c:pt>
                <c:pt idx="175">
                  <c:v>7</c:v>
                </c:pt>
                <c:pt idx="176">
                  <c:v>8</c:v>
                </c:pt>
                <c:pt idx="177">
                  <c:v>5</c:v>
                </c:pt>
                <c:pt idx="178">
                  <c:v>13</c:v>
                </c:pt>
                <c:pt idx="179">
                  <c:v>15</c:v>
                </c:pt>
                <c:pt idx="180">
                  <c:v>7</c:v>
                </c:pt>
                <c:pt idx="181">
                  <c:v>11</c:v>
                </c:pt>
                <c:pt idx="182">
                  <c:v>9</c:v>
                </c:pt>
                <c:pt idx="183">
                  <c:v>11</c:v>
                </c:pt>
                <c:pt idx="184">
                  <c:v>14</c:v>
                </c:pt>
                <c:pt idx="185">
                  <c:v>6</c:v>
                </c:pt>
                <c:pt idx="186">
                  <c:v>0</c:v>
                </c:pt>
                <c:pt idx="187">
                  <c:v>8</c:v>
                </c:pt>
                <c:pt idx="188">
                  <c:v>9</c:v>
                </c:pt>
                <c:pt idx="189">
                  <c:v>2</c:v>
                </c:pt>
                <c:pt idx="190">
                  <c:v>7</c:v>
                </c:pt>
                <c:pt idx="191">
                  <c:v>8</c:v>
                </c:pt>
                <c:pt idx="192">
                  <c:v>15</c:v>
                </c:pt>
                <c:pt idx="193">
                  <c:v>6</c:v>
                </c:pt>
                <c:pt idx="194">
                  <c:v>4</c:v>
                </c:pt>
                <c:pt idx="195">
                  <c:v>10</c:v>
                </c:pt>
                <c:pt idx="196">
                  <c:v>18</c:v>
                </c:pt>
                <c:pt idx="197">
                  <c:v>4</c:v>
                </c:pt>
                <c:pt idx="198">
                  <c:v>17</c:v>
                </c:pt>
                <c:pt idx="199">
                  <c:v>1</c:v>
                </c:pt>
                <c:pt idx="200">
                  <c:v>7</c:v>
                </c:pt>
                <c:pt idx="201">
                  <c:v>14</c:v>
                </c:pt>
                <c:pt idx="202">
                  <c:v>8</c:v>
                </c:pt>
                <c:pt idx="203">
                  <c:v>15</c:v>
                </c:pt>
                <c:pt idx="204">
                  <c:v>17</c:v>
                </c:pt>
                <c:pt idx="205">
                  <c:v>11</c:v>
                </c:pt>
                <c:pt idx="206">
                  <c:v>14</c:v>
                </c:pt>
                <c:pt idx="207">
                  <c:v>23</c:v>
                </c:pt>
                <c:pt idx="208">
                  <c:v>20</c:v>
                </c:pt>
                <c:pt idx="209">
                  <c:v>12</c:v>
                </c:pt>
                <c:pt idx="210">
                  <c:v>15</c:v>
                </c:pt>
                <c:pt idx="211">
                  <c:v>23</c:v>
                </c:pt>
                <c:pt idx="212">
                  <c:v>27</c:v>
                </c:pt>
                <c:pt idx="213">
                  <c:v>36</c:v>
                </c:pt>
                <c:pt idx="214">
                  <c:v>29</c:v>
                </c:pt>
                <c:pt idx="215">
                  <c:v>11</c:v>
                </c:pt>
                <c:pt idx="216">
                  <c:v>41</c:v>
                </c:pt>
                <c:pt idx="217">
                  <c:v>47</c:v>
                </c:pt>
                <c:pt idx="218">
                  <c:v>39</c:v>
                </c:pt>
                <c:pt idx="219">
                  <c:v>39</c:v>
                </c:pt>
                <c:pt idx="220">
                  <c:v>34</c:v>
                </c:pt>
                <c:pt idx="221">
                  <c:v>11</c:v>
                </c:pt>
                <c:pt idx="222">
                  <c:v>97</c:v>
                </c:pt>
                <c:pt idx="223">
                  <c:v>52</c:v>
                </c:pt>
                <c:pt idx="224">
                  <c:v>117</c:v>
                </c:pt>
                <c:pt idx="225">
                  <c:v>136</c:v>
                </c:pt>
                <c:pt idx="226">
                  <c:v>168</c:v>
                </c:pt>
                <c:pt idx="227">
                  <c:v>131</c:v>
                </c:pt>
                <c:pt idx="228">
                  <c:v>107</c:v>
                </c:pt>
                <c:pt idx="229">
                  <c:v>93</c:v>
                </c:pt>
                <c:pt idx="230">
                  <c:v>102</c:v>
                </c:pt>
                <c:pt idx="231">
                  <c:v>80</c:v>
                </c:pt>
                <c:pt idx="232">
                  <c:v>68</c:v>
                </c:pt>
                <c:pt idx="233">
                  <c:v>82</c:v>
                </c:pt>
                <c:pt idx="234">
                  <c:v>65</c:v>
                </c:pt>
                <c:pt idx="235">
                  <c:v>71</c:v>
                </c:pt>
                <c:pt idx="236">
                  <c:v>64</c:v>
                </c:pt>
                <c:pt idx="237">
                  <c:v>53</c:v>
                </c:pt>
                <c:pt idx="238">
                  <c:v>94</c:v>
                </c:pt>
                <c:pt idx="239">
                  <c:v>139</c:v>
                </c:pt>
                <c:pt idx="240">
                  <c:v>133</c:v>
                </c:pt>
                <c:pt idx="241">
                  <c:v>152</c:v>
                </c:pt>
                <c:pt idx="242">
                  <c:v>193</c:v>
                </c:pt>
                <c:pt idx="243">
                  <c:v>211</c:v>
                </c:pt>
                <c:pt idx="244">
                  <c:v>177</c:v>
                </c:pt>
                <c:pt idx="245">
                  <c:v>236</c:v>
                </c:pt>
                <c:pt idx="246">
                  <c:v>204</c:v>
                </c:pt>
                <c:pt idx="247">
                  <c:v>210</c:v>
                </c:pt>
                <c:pt idx="248">
                  <c:v>247</c:v>
                </c:pt>
                <c:pt idx="249">
                  <c:v>189</c:v>
                </c:pt>
                <c:pt idx="250">
                  <c:v>219</c:v>
                </c:pt>
                <c:pt idx="251">
                  <c:v>286</c:v>
                </c:pt>
                <c:pt idx="252">
                  <c:v>232</c:v>
                </c:pt>
                <c:pt idx="253">
                  <c:v>213</c:v>
                </c:pt>
                <c:pt idx="254">
                  <c:v>152</c:v>
                </c:pt>
                <c:pt idx="255">
                  <c:v>183</c:v>
                </c:pt>
                <c:pt idx="256">
                  <c:v>208</c:v>
                </c:pt>
                <c:pt idx="257">
                  <c:v>160</c:v>
                </c:pt>
                <c:pt idx="258">
                  <c:v>242</c:v>
                </c:pt>
                <c:pt idx="259">
                  <c:v>222</c:v>
                </c:pt>
                <c:pt idx="260">
                  <c:v>187</c:v>
                </c:pt>
                <c:pt idx="261">
                  <c:v>237</c:v>
                </c:pt>
                <c:pt idx="262">
                  <c:v>224</c:v>
                </c:pt>
                <c:pt idx="263">
                  <c:v>214</c:v>
                </c:pt>
                <c:pt idx="264">
                  <c:v>196</c:v>
                </c:pt>
                <c:pt idx="265">
                  <c:v>192</c:v>
                </c:pt>
                <c:pt idx="266">
                  <c:v>173</c:v>
                </c:pt>
                <c:pt idx="267">
                  <c:v>181</c:v>
                </c:pt>
                <c:pt idx="268">
                  <c:v>152</c:v>
                </c:pt>
                <c:pt idx="269">
                  <c:v>163</c:v>
                </c:pt>
                <c:pt idx="270">
                  <c:v>149</c:v>
                </c:pt>
                <c:pt idx="271">
                  <c:v>210</c:v>
                </c:pt>
                <c:pt idx="272">
                  <c:v>175</c:v>
                </c:pt>
                <c:pt idx="273">
                  <c:v>139</c:v>
                </c:pt>
                <c:pt idx="274">
                  <c:v>168</c:v>
                </c:pt>
                <c:pt idx="275">
                  <c:v>192</c:v>
                </c:pt>
                <c:pt idx="276">
                  <c:v>176</c:v>
                </c:pt>
                <c:pt idx="277">
                  <c:v>159</c:v>
                </c:pt>
                <c:pt idx="278">
                  <c:v>157</c:v>
                </c:pt>
                <c:pt idx="279">
                  <c:v>157</c:v>
                </c:pt>
                <c:pt idx="280">
                  <c:v>173</c:v>
                </c:pt>
                <c:pt idx="281">
                  <c:v>178</c:v>
                </c:pt>
                <c:pt idx="282">
                  <c:v>229</c:v>
                </c:pt>
                <c:pt idx="283">
                  <c:v>193</c:v>
                </c:pt>
                <c:pt idx="284">
                  <c:v>158</c:v>
                </c:pt>
                <c:pt idx="285">
                  <c:v>186</c:v>
                </c:pt>
                <c:pt idx="286">
                  <c:v>146</c:v>
                </c:pt>
                <c:pt idx="287">
                  <c:v>213</c:v>
                </c:pt>
                <c:pt idx="288">
                  <c:v>214</c:v>
                </c:pt>
                <c:pt idx="289">
                  <c:v>206</c:v>
                </c:pt>
                <c:pt idx="290">
                  <c:v>150</c:v>
                </c:pt>
                <c:pt idx="291">
                  <c:v>159</c:v>
                </c:pt>
                <c:pt idx="292">
                  <c:v>160</c:v>
                </c:pt>
                <c:pt idx="293">
                  <c:v>192</c:v>
                </c:pt>
                <c:pt idx="294">
                  <c:v>193</c:v>
                </c:pt>
                <c:pt idx="295">
                  <c:v>169</c:v>
                </c:pt>
                <c:pt idx="296">
                  <c:v>166</c:v>
                </c:pt>
                <c:pt idx="297">
                  <c:v>176</c:v>
                </c:pt>
                <c:pt idx="298">
                  <c:v>178</c:v>
                </c:pt>
                <c:pt idx="299">
                  <c:v>230</c:v>
                </c:pt>
                <c:pt idx="300">
                  <c:v>217</c:v>
                </c:pt>
                <c:pt idx="301">
                  <c:v>184</c:v>
                </c:pt>
                <c:pt idx="302">
                  <c:v>153</c:v>
                </c:pt>
                <c:pt idx="303">
                  <c:v>172</c:v>
                </c:pt>
                <c:pt idx="304">
                  <c:v>220</c:v>
                </c:pt>
                <c:pt idx="305">
                  <c:v>172</c:v>
                </c:pt>
                <c:pt idx="306">
                  <c:v>173</c:v>
                </c:pt>
                <c:pt idx="307">
                  <c:v>161</c:v>
                </c:pt>
                <c:pt idx="308">
                  <c:v>169</c:v>
                </c:pt>
                <c:pt idx="309">
                  <c:v>217</c:v>
                </c:pt>
                <c:pt idx="310">
                  <c:v>139</c:v>
                </c:pt>
                <c:pt idx="311">
                  <c:v>160</c:v>
                </c:pt>
                <c:pt idx="312">
                  <c:v>167</c:v>
                </c:pt>
                <c:pt idx="313">
                  <c:v>212</c:v>
                </c:pt>
                <c:pt idx="314">
                  <c:v>210</c:v>
                </c:pt>
                <c:pt idx="315">
                  <c:v>175</c:v>
                </c:pt>
                <c:pt idx="316">
                  <c:v>180</c:v>
                </c:pt>
                <c:pt idx="317">
                  <c:v>190</c:v>
                </c:pt>
                <c:pt idx="318">
                  <c:v>164</c:v>
                </c:pt>
                <c:pt idx="319">
                  <c:v>175</c:v>
                </c:pt>
                <c:pt idx="320">
                  <c:v>219</c:v>
                </c:pt>
                <c:pt idx="321">
                  <c:v>177</c:v>
                </c:pt>
                <c:pt idx="322">
                  <c:v>198</c:v>
                </c:pt>
                <c:pt idx="323">
                  <c:v>188</c:v>
                </c:pt>
                <c:pt idx="324">
                  <c:v>178</c:v>
                </c:pt>
                <c:pt idx="325">
                  <c:v>222</c:v>
                </c:pt>
                <c:pt idx="326">
                  <c:v>205</c:v>
                </c:pt>
                <c:pt idx="327">
                  <c:v>167</c:v>
                </c:pt>
                <c:pt idx="328">
                  <c:v>245</c:v>
                </c:pt>
                <c:pt idx="329">
                  <c:v>162</c:v>
                </c:pt>
                <c:pt idx="330">
                  <c:v>235</c:v>
                </c:pt>
                <c:pt idx="331">
                  <c:v>156</c:v>
                </c:pt>
                <c:pt idx="332">
                  <c:v>191</c:v>
                </c:pt>
                <c:pt idx="333">
                  <c:v>189</c:v>
                </c:pt>
                <c:pt idx="334">
                  <c:v>155</c:v>
                </c:pt>
                <c:pt idx="335">
                  <c:v>140</c:v>
                </c:pt>
                <c:pt idx="336">
                  <c:v>213</c:v>
                </c:pt>
                <c:pt idx="337">
                  <c:v>207</c:v>
                </c:pt>
                <c:pt idx="338">
                  <c:v>200</c:v>
                </c:pt>
                <c:pt idx="339">
                  <c:v>138</c:v>
                </c:pt>
                <c:pt idx="340">
                  <c:v>143</c:v>
                </c:pt>
                <c:pt idx="341">
                  <c:v>212</c:v>
                </c:pt>
                <c:pt idx="342">
                  <c:v>163</c:v>
                </c:pt>
                <c:pt idx="343">
                  <c:v>208</c:v>
                </c:pt>
                <c:pt idx="344">
                  <c:v>219</c:v>
                </c:pt>
                <c:pt idx="345">
                  <c:v>199</c:v>
                </c:pt>
                <c:pt idx="346">
                  <c:v>208</c:v>
                </c:pt>
                <c:pt idx="347">
                  <c:v>166</c:v>
                </c:pt>
                <c:pt idx="348">
                  <c:v>126</c:v>
                </c:pt>
                <c:pt idx="349">
                  <c:v>155</c:v>
                </c:pt>
                <c:pt idx="350">
                  <c:v>205</c:v>
                </c:pt>
                <c:pt idx="351">
                  <c:v>177</c:v>
                </c:pt>
                <c:pt idx="352">
                  <c:v>123</c:v>
                </c:pt>
                <c:pt idx="353">
                  <c:v>158</c:v>
                </c:pt>
                <c:pt idx="354">
                  <c:v>164</c:v>
                </c:pt>
                <c:pt idx="355">
                  <c:v>125</c:v>
                </c:pt>
                <c:pt idx="356">
                  <c:v>201</c:v>
                </c:pt>
                <c:pt idx="357">
                  <c:v>182</c:v>
                </c:pt>
                <c:pt idx="358">
                  <c:v>129</c:v>
                </c:pt>
                <c:pt idx="359">
                  <c:v>233</c:v>
                </c:pt>
                <c:pt idx="360">
                  <c:v>191</c:v>
                </c:pt>
                <c:pt idx="361">
                  <c:v>188</c:v>
                </c:pt>
                <c:pt idx="362">
                  <c:v>159</c:v>
                </c:pt>
                <c:pt idx="363">
                  <c:v>167</c:v>
                </c:pt>
                <c:pt idx="364">
                  <c:v>256</c:v>
                </c:pt>
                <c:pt idx="365">
                  <c:v>197</c:v>
                </c:pt>
                <c:pt idx="366">
                  <c:v>191</c:v>
                </c:pt>
                <c:pt idx="367">
                  <c:v>172</c:v>
                </c:pt>
                <c:pt idx="368">
                  <c:v>201</c:v>
                </c:pt>
                <c:pt idx="369">
                  <c:v>243</c:v>
                </c:pt>
                <c:pt idx="370">
                  <c:v>246</c:v>
                </c:pt>
                <c:pt idx="371">
                  <c:v>253</c:v>
                </c:pt>
                <c:pt idx="372">
                  <c:v>272</c:v>
                </c:pt>
                <c:pt idx="373">
                  <c:v>233</c:v>
                </c:pt>
                <c:pt idx="374">
                  <c:v>230</c:v>
                </c:pt>
                <c:pt idx="375">
                  <c:v>274</c:v>
                </c:pt>
                <c:pt idx="376">
                  <c:v>224</c:v>
                </c:pt>
                <c:pt idx="377">
                  <c:v>229</c:v>
                </c:pt>
                <c:pt idx="378">
                  <c:v>166</c:v>
                </c:pt>
                <c:pt idx="379">
                  <c:v>282</c:v>
                </c:pt>
                <c:pt idx="380">
                  <c:v>291</c:v>
                </c:pt>
                <c:pt idx="381">
                  <c:v>176</c:v>
                </c:pt>
                <c:pt idx="382">
                  <c:v>257</c:v>
                </c:pt>
                <c:pt idx="383">
                  <c:v>322</c:v>
                </c:pt>
                <c:pt idx="384">
                  <c:v>339</c:v>
                </c:pt>
                <c:pt idx="385">
                  <c:v>158</c:v>
                </c:pt>
                <c:pt idx="386">
                  <c:v>239</c:v>
                </c:pt>
                <c:pt idx="387">
                  <c:v>252</c:v>
                </c:pt>
                <c:pt idx="388">
                  <c:v>314</c:v>
                </c:pt>
                <c:pt idx="389">
                  <c:v>272</c:v>
                </c:pt>
                <c:pt idx="390">
                  <c:v>176</c:v>
                </c:pt>
                <c:pt idx="391">
                  <c:v>217</c:v>
                </c:pt>
                <c:pt idx="392">
                  <c:v>278</c:v>
                </c:pt>
                <c:pt idx="393">
                  <c:v>214</c:v>
                </c:pt>
                <c:pt idx="394">
                  <c:v>341</c:v>
                </c:pt>
                <c:pt idx="395">
                  <c:v>218</c:v>
                </c:pt>
                <c:pt idx="396">
                  <c:v>167</c:v>
                </c:pt>
                <c:pt idx="397">
                  <c:v>263</c:v>
                </c:pt>
                <c:pt idx="398">
                  <c:v>268</c:v>
                </c:pt>
                <c:pt idx="399">
                  <c:v>205</c:v>
                </c:pt>
                <c:pt idx="400">
                  <c:v>246</c:v>
                </c:pt>
                <c:pt idx="401">
                  <c:v>211</c:v>
                </c:pt>
                <c:pt idx="402">
                  <c:v>228</c:v>
                </c:pt>
                <c:pt idx="403">
                  <c:v>293</c:v>
                </c:pt>
                <c:pt idx="404">
                  <c:v>295</c:v>
                </c:pt>
                <c:pt idx="405">
                  <c:v>194</c:v>
                </c:pt>
                <c:pt idx="406">
                  <c:v>255</c:v>
                </c:pt>
                <c:pt idx="407">
                  <c:v>365</c:v>
                </c:pt>
                <c:pt idx="408">
                  <c:v>333</c:v>
                </c:pt>
                <c:pt idx="409">
                  <c:v>307</c:v>
                </c:pt>
                <c:pt idx="410">
                  <c:v>307</c:v>
                </c:pt>
                <c:pt idx="411">
                  <c:v>251</c:v>
                </c:pt>
                <c:pt idx="412">
                  <c:v>343</c:v>
                </c:pt>
                <c:pt idx="413">
                  <c:v>258</c:v>
                </c:pt>
                <c:pt idx="414">
                  <c:v>274</c:v>
                </c:pt>
                <c:pt idx="415">
                  <c:v>205</c:v>
                </c:pt>
                <c:pt idx="416">
                  <c:v>176</c:v>
                </c:pt>
                <c:pt idx="417">
                  <c:v>243</c:v>
                </c:pt>
                <c:pt idx="418">
                  <c:v>220</c:v>
                </c:pt>
                <c:pt idx="419">
                  <c:v>142</c:v>
                </c:pt>
                <c:pt idx="420">
                  <c:v>217</c:v>
                </c:pt>
                <c:pt idx="421">
                  <c:v>167</c:v>
                </c:pt>
                <c:pt idx="422">
                  <c:v>233</c:v>
                </c:pt>
                <c:pt idx="423">
                  <c:v>152</c:v>
                </c:pt>
                <c:pt idx="424">
                  <c:v>190</c:v>
                </c:pt>
                <c:pt idx="425">
                  <c:v>175</c:v>
                </c:pt>
                <c:pt idx="426">
                  <c:v>171</c:v>
                </c:pt>
                <c:pt idx="427">
                  <c:v>151</c:v>
                </c:pt>
                <c:pt idx="428">
                  <c:v>248</c:v>
                </c:pt>
                <c:pt idx="429">
                  <c:v>185</c:v>
                </c:pt>
                <c:pt idx="430">
                  <c:v>200</c:v>
                </c:pt>
                <c:pt idx="431">
                  <c:v>224</c:v>
                </c:pt>
                <c:pt idx="432">
                  <c:v>221</c:v>
                </c:pt>
                <c:pt idx="433">
                  <c:v>141</c:v>
                </c:pt>
                <c:pt idx="434">
                  <c:v>174</c:v>
                </c:pt>
                <c:pt idx="435">
                  <c:v>256</c:v>
                </c:pt>
                <c:pt idx="436">
                  <c:v>188</c:v>
                </c:pt>
                <c:pt idx="437">
                  <c:v>259</c:v>
                </c:pt>
                <c:pt idx="438">
                  <c:v>252</c:v>
                </c:pt>
                <c:pt idx="439">
                  <c:v>167</c:v>
                </c:pt>
                <c:pt idx="440">
                  <c:v>290</c:v>
                </c:pt>
                <c:pt idx="441">
                  <c:v>290</c:v>
                </c:pt>
                <c:pt idx="442">
                  <c:v>326</c:v>
                </c:pt>
                <c:pt idx="443">
                  <c:v>328</c:v>
                </c:pt>
                <c:pt idx="444">
                  <c:v>277</c:v>
                </c:pt>
                <c:pt idx="445">
                  <c:v>345</c:v>
                </c:pt>
                <c:pt idx="446">
                  <c:v>340</c:v>
                </c:pt>
                <c:pt idx="447">
                  <c:v>347</c:v>
                </c:pt>
                <c:pt idx="448">
                  <c:v>354</c:v>
                </c:pt>
                <c:pt idx="449">
                  <c:v>274</c:v>
                </c:pt>
                <c:pt idx="450">
                  <c:v>306</c:v>
                </c:pt>
                <c:pt idx="451">
                  <c:v>326</c:v>
                </c:pt>
                <c:pt idx="452">
                  <c:v>366</c:v>
                </c:pt>
                <c:pt idx="453">
                  <c:v>292</c:v>
                </c:pt>
                <c:pt idx="454">
                  <c:v>318</c:v>
                </c:pt>
                <c:pt idx="455">
                  <c:v>273</c:v>
                </c:pt>
                <c:pt idx="456">
                  <c:v>371</c:v>
                </c:pt>
                <c:pt idx="457">
                  <c:v>272</c:v>
                </c:pt>
                <c:pt idx="458">
                  <c:v>272</c:v>
                </c:pt>
                <c:pt idx="459">
                  <c:v>349</c:v>
                </c:pt>
                <c:pt idx="460">
                  <c:v>440</c:v>
                </c:pt>
                <c:pt idx="461">
                  <c:v>226</c:v>
                </c:pt>
                <c:pt idx="462">
                  <c:v>358</c:v>
                </c:pt>
                <c:pt idx="463">
                  <c:v>330</c:v>
                </c:pt>
                <c:pt idx="464">
                  <c:v>323</c:v>
                </c:pt>
                <c:pt idx="465">
                  <c:v>345</c:v>
                </c:pt>
                <c:pt idx="466">
                  <c:v>248</c:v>
                </c:pt>
                <c:pt idx="467">
                  <c:v>289</c:v>
                </c:pt>
                <c:pt idx="468">
                  <c:v>258</c:v>
                </c:pt>
                <c:pt idx="469">
                  <c:v>208</c:v>
                </c:pt>
                <c:pt idx="470">
                  <c:v>166</c:v>
                </c:pt>
                <c:pt idx="471">
                  <c:v>126</c:v>
                </c:pt>
                <c:pt idx="472">
                  <c:v>155</c:v>
                </c:pt>
                <c:pt idx="473">
                  <c:v>205</c:v>
                </c:pt>
                <c:pt idx="474">
                  <c:v>177</c:v>
                </c:pt>
                <c:pt idx="475">
                  <c:v>123</c:v>
                </c:pt>
                <c:pt idx="476">
                  <c:v>158</c:v>
                </c:pt>
                <c:pt idx="477">
                  <c:v>164</c:v>
                </c:pt>
                <c:pt idx="478">
                  <c:v>125</c:v>
                </c:pt>
                <c:pt idx="479">
                  <c:v>39</c:v>
                </c:pt>
                <c:pt idx="480">
                  <c:v>34</c:v>
                </c:pt>
                <c:pt idx="481">
                  <c:v>11</c:v>
                </c:pt>
                <c:pt idx="482">
                  <c:v>97</c:v>
                </c:pt>
                <c:pt idx="483">
                  <c:v>52</c:v>
                </c:pt>
                <c:pt idx="484">
                  <c:v>117</c:v>
                </c:pt>
                <c:pt idx="485">
                  <c:v>136</c:v>
                </c:pt>
                <c:pt idx="486">
                  <c:v>168</c:v>
                </c:pt>
                <c:pt idx="487">
                  <c:v>131</c:v>
                </c:pt>
                <c:pt idx="488">
                  <c:v>107</c:v>
                </c:pt>
                <c:pt idx="489">
                  <c:v>93</c:v>
                </c:pt>
                <c:pt idx="490">
                  <c:v>102</c:v>
                </c:pt>
                <c:pt idx="491">
                  <c:v>80</c:v>
                </c:pt>
                <c:pt idx="492">
                  <c:v>68</c:v>
                </c:pt>
                <c:pt idx="493">
                  <c:v>205</c:v>
                </c:pt>
                <c:pt idx="494">
                  <c:v>177</c:v>
                </c:pt>
                <c:pt idx="495">
                  <c:v>123</c:v>
                </c:pt>
                <c:pt idx="496">
                  <c:v>158</c:v>
                </c:pt>
                <c:pt idx="497">
                  <c:v>164</c:v>
                </c:pt>
                <c:pt idx="498">
                  <c:v>125</c:v>
                </c:pt>
                <c:pt idx="499">
                  <c:v>201</c:v>
                </c:pt>
                <c:pt idx="500">
                  <c:v>182</c:v>
                </c:pt>
                <c:pt idx="501">
                  <c:v>129</c:v>
                </c:pt>
                <c:pt idx="502">
                  <c:v>233</c:v>
                </c:pt>
                <c:pt idx="503">
                  <c:v>191</c:v>
                </c:pt>
                <c:pt idx="504">
                  <c:v>188</c:v>
                </c:pt>
                <c:pt idx="505">
                  <c:v>159</c:v>
                </c:pt>
                <c:pt idx="506">
                  <c:v>167</c:v>
                </c:pt>
                <c:pt idx="507">
                  <c:v>256</c:v>
                </c:pt>
                <c:pt idx="508">
                  <c:v>197</c:v>
                </c:pt>
                <c:pt idx="509">
                  <c:v>93</c:v>
                </c:pt>
                <c:pt idx="510">
                  <c:v>102</c:v>
                </c:pt>
                <c:pt idx="511">
                  <c:v>80</c:v>
                </c:pt>
                <c:pt idx="512">
                  <c:v>68</c:v>
                </c:pt>
                <c:pt idx="513">
                  <c:v>205</c:v>
                </c:pt>
                <c:pt idx="514">
                  <c:v>177</c:v>
                </c:pt>
                <c:pt idx="515">
                  <c:v>123</c:v>
                </c:pt>
                <c:pt idx="516">
                  <c:v>158</c:v>
                </c:pt>
                <c:pt idx="517">
                  <c:v>164</c:v>
                </c:pt>
                <c:pt idx="518">
                  <c:v>125</c:v>
                </c:pt>
                <c:pt idx="519">
                  <c:v>201</c:v>
                </c:pt>
                <c:pt idx="520">
                  <c:v>182</c:v>
                </c:pt>
                <c:pt idx="521">
                  <c:v>129</c:v>
                </c:pt>
                <c:pt idx="522">
                  <c:v>233</c:v>
                </c:pt>
                <c:pt idx="523">
                  <c:v>191</c:v>
                </c:pt>
                <c:pt idx="524">
                  <c:v>188</c:v>
                </c:pt>
                <c:pt idx="525">
                  <c:v>159</c:v>
                </c:pt>
                <c:pt idx="526">
                  <c:v>167</c:v>
                </c:pt>
                <c:pt idx="527">
                  <c:v>256</c:v>
                </c:pt>
                <c:pt idx="528">
                  <c:v>197</c:v>
                </c:pt>
                <c:pt idx="529">
                  <c:v>34</c:v>
                </c:pt>
                <c:pt idx="530">
                  <c:v>11</c:v>
                </c:pt>
                <c:pt idx="531">
                  <c:v>97</c:v>
                </c:pt>
                <c:pt idx="532">
                  <c:v>52</c:v>
                </c:pt>
                <c:pt idx="533">
                  <c:v>117</c:v>
                </c:pt>
                <c:pt idx="534">
                  <c:v>136</c:v>
                </c:pt>
                <c:pt idx="535">
                  <c:v>168</c:v>
                </c:pt>
                <c:pt idx="536">
                  <c:v>131</c:v>
                </c:pt>
                <c:pt idx="537">
                  <c:v>107</c:v>
                </c:pt>
                <c:pt idx="538">
                  <c:v>93</c:v>
                </c:pt>
                <c:pt idx="539">
                  <c:v>102</c:v>
                </c:pt>
                <c:pt idx="540">
                  <c:v>80</c:v>
                </c:pt>
                <c:pt idx="541">
                  <c:v>68</c:v>
                </c:pt>
                <c:pt idx="542">
                  <c:v>82</c:v>
                </c:pt>
                <c:pt idx="543">
                  <c:v>65</c:v>
                </c:pt>
                <c:pt idx="544">
                  <c:v>71</c:v>
                </c:pt>
                <c:pt idx="545">
                  <c:v>64</c:v>
                </c:pt>
                <c:pt idx="546">
                  <c:v>53</c:v>
                </c:pt>
                <c:pt idx="547">
                  <c:v>94</c:v>
                </c:pt>
                <c:pt idx="548">
                  <c:v>139</c:v>
                </c:pt>
                <c:pt idx="549">
                  <c:v>133</c:v>
                </c:pt>
                <c:pt idx="550">
                  <c:v>152</c:v>
                </c:pt>
                <c:pt idx="551">
                  <c:v>193</c:v>
                </c:pt>
                <c:pt idx="552">
                  <c:v>211</c:v>
                </c:pt>
                <c:pt idx="553">
                  <c:v>177</c:v>
                </c:pt>
                <c:pt idx="554">
                  <c:v>236</c:v>
                </c:pt>
                <c:pt idx="555">
                  <c:v>204</c:v>
                </c:pt>
                <c:pt idx="556">
                  <c:v>210</c:v>
                </c:pt>
                <c:pt idx="557">
                  <c:v>247</c:v>
                </c:pt>
                <c:pt idx="558">
                  <c:v>189</c:v>
                </c:pt>
                <c:pt idx="559">
                  <c:v>219</c:v>
                </c:pt>
                <c:pt idx="560">
                  <c:v>286</c:v>
                </c:pt>
                <c:pt idx="561">
                  <c:v>232</c:v>
                </c:pt>
                <c:pt idx="562">
                  <c:v>213</c:v>
                </c:pt>
                <c:pt idx="563">
                  <c:v>152</c:v>
                </c:pt>
                <c:pt idx="564">
                  <c:v>183</c:v>
                </c:pt>
                <c:pt idx="565">
                  <c:v>208</c:v>
                </c:pt>
                <c:pt idx="566">
                  <c:v>160</c:v>
                </c:pt>
                <c:pt idx="567">
                  <c:v>242</c:v>
                </c:pt>
                <c:pt idx="568">
                  <c:v>222</c:v>
                </c:pt>
                <c:pt idx="569">
                  <c:v>187</c:v>
                </c:pt>
                <c:pt idx="570">
                  <c:v>237</c:v>
                </c:pt>
                <c:pt idx="571">
                  <c:v>224</c:v>
                </c:pt>
                <c:pt idx="572">
                  <c:v>214</c:v>
                </c:pt>
                <c:pt idx="573">
                  <c:v>196</c:v>
                </c:pt>
                <c:pt idx="574">
                  <c:v>192</c:v>
                </c:pt>
                <c:pt idx="575">
                  <c:v>173</c:v>
                </c:pt>
                <c:pt idx="576">
                  <c:v>181</c:v>
                </c:pt>
                <c:pt idx="577">
                  <c:v>152</c:v>
                </c:pt>
                <c:pt idx="578">
                  <c:v>163</c:v>
                </c:pt>
                <c:pt idx="579">
                  <c:v>149</c:v>
                </c:pt>
                <c:pt idx="580">
                  <c:v>210</c:v>
                </c:pt>
                <c:pt idx="581">
                  <c:v>175</c:v>
                </c:pt>
                <c:pt idx="582">
                  <c:v>139</c:v>
                </c:pt>
                <c:pt idx="583">
                  <c:v>168</c:v>
                </c:pt>
                <c:pt idx="584">
                  <c:v>192</c:v>
                </c:pt>
                <c:pt idx="585">
                  <c:v>176</c:v>
                </c:pt>
                <c:pt idx="586">
                  <c:v>159</c:v>
                </c:pt>
                <c:pt idx="587">
                  <c:v>157</c:v>
                </c:pt>
                <c:pt idx="588">
                  <c:v>157</c:v>
                </c:pt>
                <c:pt idx="589">
                  <c:v>173</c:v>
                </c:pt>
                <c:pt idx="590">
                  <c:v>178</c:v>
                </c:pt>
                <c:pt idx="591">
                  <c:v>229</c:v>
                </c:pt>
                <c:pt idx="592">
                  <c:v>193</c:v>
                </c:pt>
                <c:pt idx="593">
                  <c:v>158</c:v>
                </c:pt>
                <c:pt idx="594">
                  <c:v>186</c:v>
                </c:pt>
                <c:pt idx="595">
                  <c:v>146</c:v>
                </c:pt>
                <c:pt idx="596">
                  <c:v>213</c:v>
                </c:pt>
                <c:pt idx="597">
                  <c:v>214</c:v>
                </c:pt>
                <c:pt idx="598">
                  <c:v>206</c:v>
                </c:pt>
                <c:pt idx="599">
                  <c:v>150</c:v>
                </c:pt>
                <c:pt idx="600">
                  <c:v>159</c:v>
                </c:pt>
                <c:pt idx="601">
                  <c:v>160</c:v>
                </c:pt>
                <c:pt idx="602">
                  <c:v>192</c:v>
                </c:pt>
                <c:pt idx="603">
                  <c:v>193</c:v>
                </c:pt>
                <c:pt idx="604">
                  <c:v>169</c:v>
                </c:pt>
                <c:pt idx="605">
                  <c:v>166</c:v>
                </c:pt>
                <c:pt idx="606">
                  <c:v>176</c:v>
                </c:pt>
                <c:pt idx="607">
                  <c:v>178</c:v>
                </c:pt>
                <c:pt idx="608">
                  <c:v>230</c:v>
                </c:pt>
                <c:pt idx="609">
                  <c:v>217</c:v>
                </c:pt>
                <c:pt idx="610">
                  <c:v>184</c:v>
                </c:pt>
                <c:pt idx="611">
                  <c:v>153</c:v>
                </c:pt>
                <c:pt idx="612">
                  <c:v>172</c:v>
                </c:pt>
                <c:pt idx="613">
                  <c:v>220</c:v>
                </c:pt>
                <c:pt idx="614">
                  <c:v>172</c:v>
                </c:pt>
                <c:pt idx="615">
                  <c:v>173</c:v>
                </c:pt>
                <c:pt idx="616">
                  <c:v>161</c:v>
                </c:pt>
                <c:pt idx="617">
                  <c:v>169</c:v>
                </c:pt>
                <c:pt idx="618">
                  <c:v>34</c:v>
                </c:pt>
                <c:pt idx="619">
                  <c:v>11</c:v>
                </c:pt>
                <c:pt idx="620">
                  <c:v>97</c:v>
                </c:pt>
                <c:pt idx="621">
                  <c:v>52</c:v>
                </c:pt>
                <c:pt idx="622">
                  <c:v>117</c:v>
                </c:pt>
                <c:pt idx="623">
                  <c:v>136</c:v>
                </c:pt>
                <c:pt idx="624">
                  <c:v>168</c:v>
                </c:pt>
                <c:pt idx="625">
                  <c:v>131</c:v>
                </c:pt>
                <c:pt idx="626">
                  <c:v>107</c:v>
                </c:pt>
                <c:pt idx="627">
                  <c:v>93</c:v>
                </c:pt>
                <c:pt idx="628">
                  <c:v>102</c:v>
                </c:pt>
                <c:pt idx="629">
                  <c:v>80</c:v>
                </c:pt>
                <c:pt idx="630">
                  <c:v>68</c:v>
                </c:pt>
                <c:pt idx="631">
                  <c:v>82</c:v>
                </c:pt>
                <c:pt idx="632">
                  <c:v>65</c:v>
                </c:pt>
                <c:pt idx="633">
                  <c:v>71</c:v>
                </c:pt>
                <c:pt idx="634">
                  <c:v>64</c:v>
                </c:pt>
                <c:pt idx="635">
                  <c:v>53</c:v>
                </c:pt>
                <c:pt idx="636">
                  <c:v>94</c:v>
                </c:pt>
                <c:pt idx="637">
                  <c:v>139</c:v>
                </c:pt>
                <c:pt idx="638">
                  <c:v>133</c:v>
                </c:pt>
                <c:pt idx="639">
                  <c:v>152</c:v>
                </c:pt>
                <c:pt idx="640">
                  <c:v>193</c:v>
                </c:pt>
                <c:pt idx="641">
                  <c:v>211</c:v>
                </c:pt>
                <c:pt idx="642">
                  <c:v>177</c:v>
                </c:pt>
                <c:pt idx="643">
                  <c:v>236</c:v>
                </c:pt>
                <c:pt idx="644">
                  <c:v>204</c:v>
                </c:pt>
                <c:pt idx="645">
                  <c:v>210</c:v>
                </c:pt>
                <c:pt idx="646">
                  <c:v>247</c:v>
                </c:pt>
                <c:pt idx="647">
                  <c:v>189</c:v>
                </c:pt>
                <c:pt idx="648">
                  <c:v>219</c:v>
                </c:pt>
                <c:pt idx="649">
                  <c:v>286</c:v>
                </c:pt>
                <c:pt idx="650">
                  <c:v>232</c:v>
                </c:pt>
                <c:pt idx="651">
                  <c:v>213</c:v>
                </c:pt>
                <c:pt idx="652">
                  <c:v>152</c:v>
                </c:pt>
                <c:pt idx="653">
                  <c:v>183</c:v>
                </c:pt>
                <c:pt idx="654">
                  <c:v>208</c:v>
                </c:pt>
                <c:pt idx="655">
                  <c:v>160</c:v>
                </c:pt>
                <c:pt idx="656">
                  <c:v>242</c:v>
                </c:pt>
                <c:pt idx="657">
                  <c:v>222</c:v>
                </c:pt>
                <c:pt idx="658">
                  <c:v>187</c:v>
                </c:pt>
                <c:pt idx="659">
                  <c:v>237</c:v>
                </c:pt>
                <c:pt idx="660">
                  <c:v>224</c:v>
                </c:pt>
                <c:pt idx="661">
                  <c:v>214</c:v>
                </c:pt>
                <c:pt idx="662">
                  <c:v>196</c:v>
                </c:pt>
                <c:pt idx="663">
                  <c:v>192</c:v>
                </c:pt>
                <c:pt idx="664">
                  <c:v>173</c:v>
                </c:pt>
                <c:pt idx="665">
                  <c:v>181</c:v>
                </c:pt>
                <c:pt idx="666">
                  <c:v>152</c:v>
                </c:pt>
                <c:pt idx="667">
                  <c:v>163</c:v>
                </c:pt>
                <c:pt idx="668">
                  <c:v>149</c:v>
                </c:pt>
                <c:pt idx="669">
                  <c:v>210</c:v>
                </c:pt>
                <c:pt idx="670">
                  <c:v>175</c:v>
                </c:pt>
                <c:pt idx="671">
                  <c:v>139</c:v>
                </c:pt>
                <c:pt idx="672">
                  <c:v>168</c:v>
                </c:pt>
                <c:pt idx="673">
                  <c:v>192</c:v>
                </c:pt>
                <c:pt idx="674">
                  <c:v>176</c:v>
                </c:pt>
                <c:pt idx="675">
                  <c:v>159</c:v>
                </c:pt>
                <c:pt idx="676">
                  <c:v>157</c:v>
                </c:pt>
                <c:pt idx="677">
                  <c:v>157</c:v>
                </c:pt>
                <c:pt idx="678">
                  <c:v>173</c:v>
                </c:pt>
                <c:pt idx="679">
                  <c:v>178</c:v>
                </c:pt>
                <c:pt idx="680">
                  <c:v>229</c:v>
                </c:pt>
                <c:pt idx="681">
                  <c:v>193</c:v>
                </c:pt>
                <c:pt idx="682">
                  <c:v>158</c:v>
                </c:pt>
                <c:pt idx="683">
                  <c:v>186</c:v>
                </c:pt>
                <c:pt idx="684">
                  <c:v>146</c:v>
                </c:pt>
                <c:pt idx="685">
                  <c:v>213</c:v>
                </c:pt>
                <c:pt idx="686">
                  <c:v>214</c:v>
                </c:pt>
                <c:pt idx="687">
                  <c:v>206</c:v>
                </c:pt>
                <c:pt idx="688">
                  <c:v>150</c:v>
                </c:pt>
                <c:pt idx="689">
                  <c:v>159</c:v>
                </c:pt>
                <c:pt idx="690">
                  <c:v>160</c:v>
                </c:pt>
                <c:pt idx="691">
                  <c:v>192</c:v>
                </c:pt>
                <c:pt idx="692">
                  <c:v>193</c:v>
                </c:pt>
                <c:pt idx="693">
                  <c:v>169</c:v>
                </c:pt>
                <c:pt idx="694">
                  <c:v>166</c:v>
                </c:pt>
                <c:pt idx="695">
                  <c:v>176</c:v>
                </c:pt>
                <c:pt idx="696">
                  <c:v>178</c:v>
                </c:pt>
                <c:pt idx="697">
                  <c:v>230</c:v>
                </c:pt>
                <c:pt idx="698">
                  <c:v>217</c:v>
                </c:pt>
                <c:pt idx="699">
                  <c:v>184</c:v>
                </c:pt>
                <c:pt idx="700">
                  <c:v>153</c:v>
                </c:pt>
                <c:pt idx="701">
                  <c:v>172</c:v>
                </c:pt>
                <c:pt idx="702">
                  <c:v>220</c:v>
                </c:pt>
                <c:pt idx="703">
                  <c:v>172</c:v>
                </c:pt>
                <c:pt idx="704">
                  <c:v>173</c:v>
                </c:pt>
                <c:pt idx="705">
                  <c:v>161</c:v>
                </c:pt>
                <c:pt idx="706">
                  <c:v>169</c:v>
                </c:pt>
                <c:pt idx="707">
                  <c:v>20</c:v>
                </c:pt>
                <c:pt idx="708">
                  <c:v>12</c:v>
                </c:pt>
                <c:pt idx="709">
                  <c:v>15</c:v>
                </c:pt>
                <c:pt idx="710">
                  <c:v>23</c:v>
                </c:pt>
                <c:pt idx="711">
                  <c:v>27</c:v>
                </c:pt>
                <c:pt idx="712">
                  <c:v>36</c:v>
                </c:pt>
                <c:pt idx="713">
                  <c:v>29</c:v>
                </c:pt>
                <c:pt idx="714">
                  <c:v>11</c:v>
                </c:pt>
                <c:pt idx="715">
                  <c:v>41</c:v>
                </c:pt>
                <c:pt idx="716">
                  <c:v>47</c:v>
                </c:pt>
                <c:pt idx="717">
                  <c:v>39</c:v>
                </c:pt>
                <c:pt idx="718">
                  <c:v>39</c:v>
                </c:pt>
                <c:pt idx="71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8-4041-A73F-DFB86858EF94}"/>
            </c:ext>
          </c:extLst>
        </c:ser>
        <c:ser>
          <c:idx val="1"/>
          <c:order val="1"/>
          <c:tx>
            <c:strRef>
              <c:f>HHS_Unaccompanied_Alien_Childre!$G$1</c:f>
              <c:strCache>
                <c:ptCount val="1"/>
                <c:pt idx="0">
                  <c:v>Children discharged from HHS Care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HHS_Unaccompanied_Alien_Childre!$A$2:$A$722</c:f>
              <c:numCache>
                <c:formatCode>d\-mmm\-yy</c:formatCode>
                <c:ptCount val="721"/>
                <c:pt idx="0">
                  <c:v>46012</c:v>
                </c:pt>
                <c:pt idx="1">
                  <c:v>46013</c:v>
                </c:pt>
                <c:pt idx="2">
                  <c:v>46014</c:v>
                </c:pt>
                <c:pt idx="3">
                  <c:v>46015</c:v>
                </c:pt>
                <c:pt idx="4">
                  <c:v>46016</c:v>
                </c:pt>
                <c:pt idx="5">
                  <c:v>46017</c:v>
                </c:pt>
                <c:pt idx="6">
                  <c:v>46018</c:v>
                </c:pt>
                <c:pt idx="7">
                  <c:v>46019</c:v>
                </c:pt>
                <c:pt idx="8">
                  <c:v>46020</c:v>
                </c:pt>
                <c:pt idx="9">
                  <c:v>46021</c:v>
                </c:pt>
                <c:pt idx="10">
                  <c:v>46022</c:v>
                </c:pt>
                <c:pt idx="11">
                  <c:v>46023</c:v>
                </c:pt>
                <c:pt idx="12">
                  <c:v>46024</c:v>
                </c:pt>
                <c:pt idx="13">
                  <c:v>46025</c:v>
                </c:pt>
                <c:pt idx="14">
                  <c:v>46026</c:v>
                </c:pt>
                <c:pt idx="15">
                  <c:v>46027</c:v>
                </c:pt>
                <c:pt idx="16">
                  <c:v>46028</c:v>
                </c:pt>
                <c:pt idx="17">
                  <c:v>46029</c:v>
                </c:pt>
                <c:pt idx="18">
                  <c:v>46030</c:v>
                </c:pt>
                <c:pt idx="19">
                  <c:v>46031</c:v>
                </c:pt>
                <c:pt idx="20">
                  <c:v>46032</c:v>
                </c:pt>
                <c:pt idx="21">
                  <c:v>46033</c:v>
                </c:pt>
                <c:pt idx="22">
                  <c:v>46034</c:v>
                </c:pt>
                <c:pt idx="23">
                  <c:v>46035</c:v>
                </c:pt>
                <c:pt idx="24">
                  <c:v>46036</c:v>
                </c:pt>
                <c:pt idx="25">
                  <c:v>46037</c:v>
                </c:pt>
                <c:pt idx="26">
                  <c:v>46038</c:v>
                </c:pt>
                <c:pt idx="27">
                  <c:v>46039</c:v>
                </c:pt>
                <c:pt idx="28">
                  <c:v>46040</c:v>
                </c:pt>
                <c:pt idx="29">
                  <c:v>46041</c:v>
                </c:pt>
                <c:pt idx="30">
                  <c:v>46042</c:v>
                </c:pt>
                <c:pt idx="31">
                  <c:v>46043</c:v>
                </c:pt>
                <c:pt idx="32">
                  <c:v>46044</c:v>
                </c:pt>
                <c:pt idx="33">
                  <c:v>46045</c:v>
                </c:pt>
                <c:pt idx="34">
                  <c:v>46046</c:v>
                </c:pt>
                <c:pt idx="35">
                  <c:v>46047</c:v>
                </c:pt>
                <c:pt idx="36">
                  <c:v>46048</c:v>
                </c:pt>
                <c:pt idx="37">
                  <c:v>46049</c:v>
                </c:pt>
                <c:pt idx="38">
                  <c:v>46050</c:v>
                </c:pt>
                <c:pt idx="39">
                  <c:v>46051</c:v>
                </c:pt>
                <c:pt idx="40">
                  <c:v>46052</c:v>
                </c:pt>
                <c:pt idx="41">
                  <c:v>46053</c:v>
                </c:pt>
                <c:pt idx="42">
                  <c:v>46054</c:v>
                </c:pt>
                <c:pt idx="43">
                  <c:v>46055</c:v>
                </c:pt>
                <c:pt idx="44">
                  <c:v>46056</c:v>
                </c:pt>
                <c:pt idx="45">
                  <c:v>46057</c:v>
                </c:pt>
                <c:pt idx="46">
                  <c:v>46058</c:v>
                </c:pt>
                <c:pt idx="47">
                  <c:v>46059</c:v>
                </c:pt>
                <c:pt idx="48">
                  <c:v>46060</c:v>
                </c:pt>
                <c:pt idx="49">
                  <c:v>46061</c:v>
                </c:pt>
                <c:pt idx="50">
                  <c:v>46062</c:v>
                </c:pt>
                <c:pt idx="51">
                  <c:v>46063</c:v>
                </c:pt>
                <c:pt idx="52">
                  <c:v>46064</c:v>
                </c:pt>
                <c:pt idx="53">
                  <c:v>46065</c:v>
                </c:pt>
                <c:pt idx="54">
                  <c:v>46066</c:v>
                </c:pt>
                <c:pt idx="55">
                  <c:v>46067</c:v>
                </c:pt>
                <c:pt idx="56">
                  <c:v>46068</c:v>
                </c:pt>
                <c:pt idx="57">
                  <c:v>46069</c:v>
                </c:pt>
                <c:pt idx="58">
                  <c:v>46070</c:v>
                </c:pt>
                <c:pt idx="59">
                  <c:v>46071</c:v>
                </c:pt>
                <c:pt idx="60">
                  <c:v>46072</c:v>
                </c:pt>
                <c:pt idx="61">
                  <c:v>46073</c:v>
                </c:pt>
                <c:pt idx="62">
                  <c:v>46074</c:v>
                </c:pt>
                <c:pt idx="63">
                  <c:v>46075</c:v>
                </c:pt>
                <c:pt idx="64">
                  <c:v>46076</c:v>
                </c:pt>
                <c:pt idx="65">
                  <c:v>46077</c:v>
                </c:pt>
                <c:pt idx="66">
                  <c:v>46078</c:v>
                </c:pt>
                <c:pt idx="67">
                  <c:v>46079</c:v>
                </c:pt>
                <c:pt idx="68">
                  <c:v>46080</c:v>
                </c:pt>
                <c:pt idx="69">
                  <c:v>46081</c:v>
                </c:pt>
                <c:pt idx="70">
                  <c:v>46082</c:v>
                </c:pt>
                <c:pt idx="71">
                  <c:v>46083</c:v>
                </c:pt>
                <c:pt idx="72">
                  <c:v>46084</c:v>
                </c:pt>
                <c:pt idx="73">
                  <c:v>46085</c:v>
                </c:pt>
                <c:pt idx="74">
                  <c:v>46086</c:v>
                </c:pt>
                <c:pt idx="75">
                  <c:v>46087</c:v>
                </c:pt>
                <c:pt idx="76">
                  <c:v>46088</c:v>
                </c:pt>
                <c:pt idx="77">
                  <c:v>46089</c:v>
                </c:pt>
                <c:pt idx="78">
                  <c:v>46090</c:v>
                </c:pt>
                <c:pt idx="79">
                  <c:v>46091</c:v>
                </c:pt>
                <c:pt idx="80">
                  <c:v>46092</c:v>
                </c:pt>
                <c:pt idx="81">
                  <c:v>46093</c:v>
                </c:pt>
                <c:pt idx="82">
                  <c:v>46094</c:v>
                </c:pt>
                <c:pt idx="83">
                  <c:v>46095</c:v>
                </c:pt>
                <c:pt idx="84">
                  <c:v>46096</c:v>
                </c:pt>
                <c:pt idx="85">
                  <c:v>46097</c:v>
                </c:pt>
                <c:pt idx="86">
                  <c:v>46098</c:v>
                </c:pt>
                <c:pt idx="87">
                  <c:v>46099</c:v>
                </c:pt>
                <c:pt idx="88">
                  <c:v>46100</c:v>
                </c:pt>
                <c:pt idx="89">
                  <c:v>46101</c:v>
                </c:pt>
                <c:pt idx="90">
                  <c:v>46102</c:v>
                </c:pt>
                <c:pt idx="91">
                  <c:v>46103</c:v>
                </c:pt>
                <c:pt idx="92">
                  <c:v>46104</c:v>
                </c:pt>
                <c:pt idx="93">
                  <c:v>46105</c:v>
                </c:pt>
                <c:pt idx="94">
                  <c:v>46106</c:v>
                </c:pt>
                <c:pt idx="95">
                  <c:v>46107</c:v>
                </c:pt>
                <c:pt idx="96">
                  <c:v>46108</c:v>
                </c:pt>
                <c:pt idx="97">
                  <c:v>46109</c:v>
                </c:pt>
                <c:pt idx="98">
                  <c:v>46110</c:v>
                </c:pt>
                <c:pt idx="99">
                  <c:v>46111</c:v>
                </c:pt>
                <c:pt idx="100">
                  <c:v>46112</c:v>
                </c:pt>
                <c:pt idx="101">
                  <c:v>46113</c:v>
                </c:pt>
                <c:pt idx="102">
                  <c:v>46114</c:v>
                </c:pt>
                <c:pt idx="103">
                  <c:v>46115</c:v>
                </c:pt>
                <c:pt idx="104">
                  <c:v>46116</c:v>
                </c:pt>
                <c:pt idx="105">
                  <c:v>46117</c:v>
                </c:pt>
                <c:pt idx="106">
                  <c:v>46118</c:v>
                </c:pt>
                <c:pt idx="107">
                  <c:v>46119</c:v>
                </c:pt>
                <c:pt idx="108">
                  <c:v>46120</c:v>
                </c:pt>
                <c:pt idx="109">
                  <c:v>46121</c:v>
                </c:pt>
                <c:pt idx="110">
                  <c:v>46122</c:v>
                </c:pt>
                <c:pt idx="111">
                  <c:v>46123</c:v>
                </c:pt>
                <c:pt idx="112">
                  <c:v>46124</c:v>
                </c:pt>
                <c:pt idx="113">
                  <c:v>46125</c:v>
                </c:pt>
                <c:pt idx="114">
                  <c:v>46126</c:v>
                </c:pt>
                <c:pt idx="115">
                  <c:v>46127</c:v>
                </c:pt>
                <c:pt idx="116">
                  <c:v>46128</c:v>
                </c:pt>
                <c:pt idx="117">
                  <c:v>46129</c:v>
                </c:pt>
                <c:pt idx="118">
                  <c:v>46130</c:v>
                </c:pt>
                <c:pt idx="119">
                  <c:v>46131</c:v>
                </c:pt>
                <c:pt idx="120">
                  <c:v>46132</c:v>
                </c:pt>
                <c:pt idx="121">
                  <c:v>46133</c:v>
                </c:pt>
                <c:pt idx="122">
                  <c:v>46134</c:v>
                </c:pt>
                <c:pt idx="123">
                  <c:v>46135</c:v>
                </c:pt>
                <c:pt idx="124">
                  <c:v>46136</c:v>
                </c:pt>
                <c:pt idx="125">
                  <c:v>46137</c:v>
                </c:pt>
                <c:pt idx="126">
                  <c:v>46138</c:v>
                </c:pt>
                <c:pt idx="127">
                  <c:v>46139</c:v>
                </c:pt>
                <c:pt idx="128">
                  <c:v>46140</c:v>
                </c:pt>
                <c:pt idx="129">
                  <c:v>46141</c:v>
                </c:pt>
                <c:pt idx="130">
                  <c:v>46142</c:v>
                </c:pt>
                <c:pt idx="131">
                  <c:v>46143</c:v>
                </c:pt>
                <c:pt idx="132">
                  <c:v>46144</c:v>
                </c:pt>
                <c:pt idx="133">
                  <c:v>46145</c:v>
                </c:pt>
                <c:pt idx="134">
                  <c:v>46146</c:v>
                </c:pt>
                <c:pt idx="135">
                  <c:v>46147</c:v>
                </c:pt>
                <c:pt idx="136">
                  <c:v>46148</c:v>
                </c:pt>
                <c:pt idx="137">
                  <c:v>46149</c:v>
                </c:pt>
                <c:pt idx="138">
                  <c:v>46150</c:v>
                </c:pt>
                <c:pt idx="139">
                  <c:v>46151</c:v>
                </c:pt>
                <c:pt idx="140">
                  <c:v>46152</c:v>
                </c:pt>
                <c:pt idx="141">
                  <c:v>46153</c:v>
                </c:pt>
                <c:pt idx="142">
                  <c:v>46154</c:v>
                </c:pt>
                <c:pt idx="143">
                  <c:v>46155</c:v>
                </c:pt>
                <c:pt idx="144">
                  <c:v>46156</c:v>
                </c:pt>
                <c:pt idx="145">
                  <c:v>46157</c:v>
                </c:pt>
                <c:pt idx="146">
                  <c:v>46158</c:v>
                </c:pt>
                <c:pt idx="147">
                  <c:v>46159</c:v>
                </c:pt>
                <c:pt idx="148">
                  <c:v>46160</c:v>
                </c:pt>
                <c:pt idx="149">
                  <c:v>46161</c:v>
                </c:pt>
                <c:pt idx="150">
                  <c:v>46162</c:v>
                </c:pt>
                <c:pt idx="151">
                  <c:v>46163</c:v>
                </c:pt>
                <c:pt idx="152">
                  <c:v>46164</c:v>
                </c:pt>
                <c:pt idx="153">
                  <c:v>46165</c:v>
                </c:pt>
                <c:pt idx="154">
                  <c:v>46166</c:v>
                </c:pt>
                <c:pt idx="155">
                  <c:v>46167</c:v>
                </c:pt>
                <c:pt idx="156">
                  <c:v>46168</c:v>
                </c:pt>
                <c:pt idx="157">
                  <c:v>46169</c:v>
                </c:pt>
                <c:pt idx="158">
                  <c:v>46170</c:v>
                </c:pt>
                <c:pt idx="159">
                  <c:v>46171</c:v>
                </c:pt>
                <c:pt idx="160">
                  <c:v>46172</c:v>
                </c:pt>
                <c:pt idx="161">
                  <c:v>46173</c:v>
                </c:pt>
                <c:pt idx="162">
                  <c:v>46174</c:v>
                </c:pt>
                <c:pt idx="163">
                  <c:v>46175</c:v>
                </c:pt>
                <c:pt idx="164">
                  <c:v>46176</c:v>
                </c:pt>
                <c:pt idx="165">
                  <c:v>46177</c:v>
                </c:pt>
                <c:pt idx="166">
                  <c:v>46178</c:v>
                </c:pt>
                <c:pt idx="167">
                  <c:v>46179</c:v>
                </c:pt>
                <c:pt idx="168">
                  <c:v>46180</c:v>
                </c:pt>
                <c:pt idx="169">
                  <c:v>46181</c:v>
                </c:pt>
                <c:pt idx="170">
                  <c:v>46182</c:v>
                </c:pt>
                <c:pt idx="171">
                  <c:v>46183</c:v>
                </c:pt>
                <c:pt idx="172">
                  <c:v>46184</c:v>
                </c:pt>
                <c:pt idx="173">
                  <c:v>46185</c:v>
                </c:pt>
                <c:pt idx="174">
                  <c:v>46186</c:v>
                </c:pt>
                <c:pt idx="175">
                  <c:v>46187</c:v>
                </c:pt>
                <c:pt idx="176">
                  <c:v>46188</c:v>
                </c:pt>
                <c:pt idx="177">
                  <c:v>46189</c:v>
                </c:pt>
                <c:pt idx="178">
                  <c:v>46190</c:v>
                </c:pt>
                <c:pt idx="179">
                  <c:v>46191</c:v>
                </c:pt>
                <c:pt idx="180">
                  <c:v>46192</c:v>
                </c:pt>
                <c:pt idx="181">
                  <c:v>46193</c:v>
                </c:pt>
                <c:pt idx="182">
                  <c:v>46194</c:v>
                </c:pt>
                <c:pt idx="183">
                  <c:v>46195</c:v>
                </c:pt>
                <c:pt idx="184">
                  <c:v>46196</c:v>
                </c:pt>
                <c:pt idx="185">
                  <c:v>46197</c:v>
                </c:pt>
                <c:pt idx="186">
                  <c:v>46198</c:v>
                </c:pt>
                <c:pt idx="187">
                  <c:v>46199</c:v>
                </c:pt>
                <c:pt idx="188">
                  <c:v>46200</c:v>
                </c:pt>
                <c:pt idx="189">
                  <c:v>46201</c:v>
                </c:pt>
                <c:pt idx="190">
                  <c:v>46202</c:v>
                </c:pt>
                <c:pt idx="191">
                  <c:v>46203</c:v>
                </c:pt>
                <c:pt idx="192">
                  <c:v>46204</c:v>
                </c:pt>
                <c:pt idx="193">
                  <c:v>46205</c:v>
                </c:pt>
                <c:pt idx="194">
                  <c:v>46206</c:v>
                </c:pt>
                <c:pt idx="195">
                  <c:v>46207</c:v>
                </c:pt>
                <c:pt idx="196">
                  <c:v>46208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46214</c:v>
                </c:pt>
                <c:pt idx="203">
                  <c:v>46215</c:v>
                </c:pt>
                <c:pt idx="204">
                  <c:v>46216</c:v>
                </c:pt>
                <c:pt idx="205">
                  <c:v>46217</c:v>
                </c:pt>
                <c:pt idx="206">
                  <c:v>46218</c:v>
                </c:pt>
                <c:pt idx="207">
                  <c:v>46219</c:v>
                </c:pt>
                <c:pt idx="208">
                  <c:v>46220</c:v>
                </c:pt>
                <c:pt idx="209">
                  <c:v>46221</c:v>
                </c:pt>
                <c:pt idx="210">
                  <c:v>46222</c:v>
                </c:pt>
                <c:pt idx="211">
                  <c:v>46223</c:v>
                </c:pt>
                <c:pt idx="212">
                  <c:v>46224</c:v>
                </c:pt>
                <c:pt idx="213">
                  <c:v>46225</c:v>
                </c:pt>
                <c:pt idx="214">
                  <c:v>46226</c:v>
                </c:pt>
                <c:pt idx="215">
                  <c:v>46227</c:v>
                </c:pt>
                <c:pt idx="216">
                  <c:v>46228</c:v>
                </c:pt>
                <c:pt idx="217">
                  <c:v>46229</c:v>
                </c:pt>
                <c:pt idx="218">
                  <c:v>46230</c:v>
                </c:pt>
                <c:pt idx="219">
                  <c:v>46231</c:v>
                </c:pt>
                <c:pt idx="220">
                  <c:v>46232</c:v>
                </c:pt>
                <c:pt idx="221">
                  <c:v>46233</c:v>
                </c:pt>
                <c:pt idx="222">
                  <c:v>46234</c:v>
                </c:pt>
                <c:pt idx="223">
                  <c:v>46235</c:v>
                </c:pt>
                <c:pt idx="224">
                  <c:v>46236</c:v>
                </c:pt>
                <c:pt idx="225">
                  <c:v>46237</c:v>
                </c:pt>
                <c:pt idx="226">
                  <c:v>46238</c:v>
                </c:pt>
                <c:pt idx="227">
                  <c:v>46239</c:v>
                </c:pt>
                <c:pt idx="228">
                  <c:v>46240</c:v>
                </c:pt>
                <c:pt idx="229">
                  <c:v>46241</c:v>
                </c:pt>
                <c:pt idx="230">
                  <c:v>46242</c:v>
                </c:pt>
                <c:pt idx="231">
                  <c:v>46243</c:v>
                </c:pt>
                <c:pt idx="232">
                  <c:v>46244</c:v>
                </c:pt>
                <c:pt idx="233">
                  <c:v>46245</c:v>
                </c:pt>
                <c:pt idx="234">
                  <c:v>46246</c:v>
                </c:pt>
                <c:pt idx="235">
                  <c:v>46247</c:v>
                </c:pt>
                <c:pt idx="236">
                  <c:v>46248</c:v>
                </c:pt>
                <c:pt idx="237">
                  <c:v>46249</c:v>
                </c:pt>
                <c:pt idx="238">
                  <c:v>46250</c:v>
                </c:pt>
                <c:pt idx="239">
                  <c:v>46251</c:v>
                </c:pt>
                <c:pt idx="240">
                  <c:v>46252</c:v>
                </c:pt>
                <c:pt idx="241">
                  <c:v>46253</c:v>
                </c:pt>
                <c:pt idx="242">
                  <c:v>46254</c:v>
                </c:pt>
                <c:pt idx="243">
                  <c:v>46255</c:v>
                </c:pt>
                <c:pt idx="244">
                  <c:v>46256</c:v>
                </c:pt>
                <c:pt idx="245">
                  <c:v>46257</c:v>
                </c:pt>
                <c:pt idx="246">
                  <c:v>46258</c:v>
                </c:pt>
                <c:pt idx="247">
                  <c:v>46259</c:v>
                </c:pt>
                <c:pt idx="248">
                  <c:v>46260</c:v>
                </c:pt>
                <c:pt idx="249">
                  <c:v>46261</c:v>
                </c:pt>
                <c:pt idx="250">
                  <c:v>46262</c:v>
                </c:pt>
                <c:pt idx="251">
                  <c:v>46263</c:v>
                </c:pt>
                <c:pt idx="252">
                  <c:v>46264</c:v>
                </c:pt>
                <c:pt idx="253">
                  <c:v>46265</c:v>
                </c:pt>
                <c:pt idx="254">
                  <c:v>46266</c:v>
                </c:pt>
                <c:pt idx="255">
                  <c:v>46267</c:v>
                </c:pt>
                <c:pt idx="256">
                  <c:v>46268</c:v>
                </c:pt>
                <c:pt idx="257">
                  <c:v>46269</c:v>
                </c:pt>
                <c:pt idx="258">
                  <c:v>46270</c:v>
                </c:pt>
                <c:pt idx="259">
                  <c:v>46271</c:v>
                </c:pt>
                <c:pt idx="260">
                  <c:v>46272</c:v>
                </c:pt>
                <c:pt idx="261">
                  <c:v>46273</c:v>
                </c:pt>
                <c:pt idx="262">
                  <c:v>46274</c:v>
                </c:pt>
                <c:pt idx="263">
                  <c:v>46275</c:v>
                </c:pt>
                <c:pt idx="264">
                  <c:v>46276</c:v>
                </c:pt>
                <c:pt idx="265">
                  <c:v>46277</c:v>
                </c:pt>
                <c:pt idx="266">
                  <c:v>46278</c:v>
                </c:pt>
                <c:pt idx="267">
                  <c:v>46279</c:v>
                </c:pt>
                <c:pt idx="268">
                  <c:v>46280</c:v>
                </c:pt>
                <c:pt idx="269">
                  <c:v>46281</c:v>
                </c:pt>
                <c:pt idx="270">
                  <c:v>46282</c:v>
                </c:pt>
                <c:pt idx="271">
                  <c:v>46283</c:v>
                </c:pt>
                <c:pt idx="272">
                  <c:v>46284</c:v>
                </c:pt>
                <c:pt idx="273">
                  <c:v>46285</c:v>
                </c:pt>
                <c:pt idx="274">
                  <c:v>46286</c:v>
                </c:pt>
                <c:pt idx="275">
                  <c:v>46287</c:v>
                </c:pt>
                <c:pt idx="276">
                  <c:v>46288</c:v>
                </c:pt>
                <c:pt idx="277">
                  <c:v>46289</c:v>
                </c:pt>
                <c:pt idx="278">
                  <c:v>46290</c:v>
                </c:pt>
                <c:pt idx="279">
                  <c:v>46291</c:v>
                </c:pt>
                <c:pt idx="280">
                  <c:v>46292</c:v>
                </c:pt>
                <c:pt idx="281">
                  <c:v>46293</c:v>
                </c:pt>
                <c:pt idx="282">
                  <c:v>46294</c:v>
                </c:pt>
                <c:pt idx="283">
                  <c:v>46295</c:v>
                </c:pt>
                <c:pt idx="284">
                  <c:v>46296</c:v>
                </c:pt>
                <c:pt idx="285">
                  <c:v>46297</c:v>
                </c:pt>
                <c:pt idx="286">
                  <c:v>46298</c:v>
                </c:pt>
                <c:pt idx="287">
                  <c:v>46299</c:v>
                </c:pt>
                <c:pt idx="288">
                  <c:v>46300</c:v>
                </c:pt>
                <c:pt idx="289">
                  <c:v>46301</c:v>
                </c:pt>
                <c:pt idx="290">
                  <c:v>46302</c:v>
                </c:pt>
                <c:pt idx="291">
                  <c:v>46303</c:v>
                </c:pt>
                <c:pt idx="292">
                  <c:v>46304</c:v>
                </c:pt>
                <c:pt idx="293">
                  <c:v>46305</c:v>
                </c:pt>
                <c:pt idx="294">
                  <c:v>46306</c:v>
                </c:pt>
                <c:pt idx="295">
                  <c:v>46307</c:v>
                </c:pt>
                <c:pt idx="296">
                  <c:v>46308</c:v>
                </c:pt>
                <c:pt idx="297">
                  <c:v>46309</c:v>
                </c:pt>
                <c:pt idx="298">
                  <c:v>46310</c:v>
                </c:pt>
                <c:pt idx="299">
                  <c:v>46311</c:v>
                </c:pt>
                <c:pt idx="300">
                  <c:v>46312</c:v>
                </c:pt>
                <c:pt idx="301">
                  <c:v>46313</c:v>
                </c:pt>
                <c:pt idx="302">
                  <c:v>46314</c:v>
                </c:pt>
                <c:pt idx="303">
                  <c:v>46315</c:v>
                </c:pt>
                <c:pt idx="304">
                  <c:v>46316</c:v>
                </c:pt>
                <c:pt idx="305">
                  <c:v>46317</c:v>
                </c:pt>
                <c:pt idx="306">
                  <c:v>46318</c:v>
                </c:pt>
                <c:pt idx="307">
                  <c:v>46319</c:v>
                </c:pt>
                <c:pt idx="308">
                  <c:v>46320</c:v>
                </c:pt>
                <c:pt idx="309">
                  <c:v>46321</c:v>
                </c:pt>
                <c:pt idx="310">
                  <c:v>46322</c:v>
                </c:pt>
                <c:pt idx="311">
                  <c:v>46323</c:v>
                </c:pt>
                <c:pt idx="312">
                  <c:v>46324</c:v>
                </c:pt>
                <c:pt idx="313">
                  <c:v>46325</c:v>
                </c:pt>
                <c:pt idx="314">
                  <c:v>46326</c:v>
                </c:pt>
                <c:pt idx="315">
                  <c:v>46327</c:v>
                </c:pt>
                <c:pt idx="316">
                  <c:v>46328</c:v>
                </c:pt>
                <c:pt idx="317">
                  <c:v>46329</c:v>
                </c:pt>
                <c:pt idx="318">
                  <c:v>46330</c:v>
                </c:pt>
                <c:pt idx="319">
                  <c:v>46331</c:v>
                </c:pt>
                <c:pt idx="320">
                  <c:v>46332</c:v>
                </c:pt>
                <c:pt idx="321">
                  <c:v>46333</c:v>
                </c:pt>
                <c:pt idx="322">
                  <c:v>46334</c:v>
                </c:pt>
                <c:pt idx="323">
                  <c:v>46335</c:v>
                </c:pt>
                <c:pt idx="324">
                  <c:v>46336</c:v>
                </c:pt>
                <c:pt idx="325">
                  <c:v>46337</c:v>
                </c:pt>
                <c:pt idx="326">
                  <c:v>46338</c:v>
                </c:pt>
                <c:pt idx="327">
                  <c:v>46339</c:v>
                </c:pt>
                <c:pt idx="328">
                  <c:v>46340</c:v>
                </c:pt>
                <c:pt idx="329">
                  <c:v>46341</c:v>
                </c:pt>
                <c:pt idx="330">
                  <c:v>46342</c:v>
                </c:pt>
                <c:pt idx="331">
                  <c:v>46343</c:v>
                </c:pt>
                <c:pt idx="332">
                  <c:v>46344</c:v>
                </c:pt>
                <c:pt idx="333">
                  <c:v>46345</c:v>
                </c:pt>
                <c:pt idx="334">
                  <c:v>46346</c:v>
                </c:pt>
                <c:pt idx="335">
                  <c:v>46347</c:v>
                </c:pt>
                <c:pt idx="336">
                  <c:v>46348</c:v>
                </c:pt>
                <c:pt idx="337">
                  <c:v>46349</c:v>
                </c:pt>
                <c:pt idx="338">
                  <c:v>46350</c:v>
                </c:pt>
                <c:pt idx="339">
                  <c:v>46351</c:v>
                </c:pt>
                <c:pt idx="340">
                  <c:v>46352</c:v>
                </c:pt>
                <c:pt idx="341">
                  <c:v>46353</c:v>
                </c:pt>
                <c:pt idx="342">
                  <c:v>46354</c:v>
                </c:pt>
                <c:pt idx="343">
                  <c:v>46355</c:v>
                </c:pt>
                <c:pt idx="344">
                  <c:v>46356</c:v>
                </c:pt>
                <c:pt idx="345">
                  <c:v>46357</c:v>
                </c:pt>
                <c:pt idx="346">
                  <c:v>46358</c:v>
                </c:pt>
                <c:pt idx="347">
                  <c:v>46359</c:v>
                </c:pt>
                <c:pt idx="348">
                  <c:v>46360</c:v>
                </c:pt>
                <c:pt idx="349">
                  <c:v>46361</c:v>
                </c:pt>
                <c:pt idx="350">
                  <c:v>46362</c:v>
                </c:pt>
                <c:pt idx="351">
                  <c:v>46363</c:v>
                </c:pt>
                <c:pt idx="352">
                  <c:v>46364</c:v>
                </c:pt>
                <c:pt idx="353">
                  <c:v>46365</c:v>
                </c:pt>
                <c:pt idx="354">
                  <c:v>46366</c:v>
                </c:pt>
                <c:pt idx="355">
                  <c:v>46367</c:v>
                </c:pt>
                <c:pt idx="356">
                  <c:v>46368</c:v>
                </c:pt>
                <c:pt idx="357">
                  <c:v>46369</c:v>
                </c:pt>
                <c:pt idx="358">
                  <c:v>46370</c:v>
                </c:pt>
                <c:pt idx="359">
                  <c:v>46371</c:v>
                </c:pt>
                <c:pt idx="360">
                  <c:v>46372</c:v>
                </c:pt>
                <c:pt idx="361">
                  <c:v>46373</c:v>
                </c:pt>
                <c:pt idx="362">
                  <c:v>46374</c:v>
                </c:pt>
                <c:pt idx="363">
                  <c:v>46375</c:v>
                </c:pt>
                <c:pt idx="364">
                  <c:v>46376</c:v>
                </c:pt>
                <c:pt idx="365">
                  <c:v>46377</c:v>
                </c:pt>
                <c:pt idx="366">
                  <c:v>46378</c:v>
                </c:pt>
                <c:pt idx="367">
                  <c:v>46379</c:v>
                </c:pt>
                <c:pt idx="368">
                  <c:v>46380</c:v>
                </c:pt>
                <c:pt idx="369">
                  <c:v>46381</c:v>
                </c:pt>
                <c:pt idx="370">
                  <c:v>46382</c:v>
                </c:pt>
                <c:pt idx="371">
                  <c:v>46383</c:v>
                </c:pt>
                <c:pt idx="372">
                  <c:v>46384</c:v>
                </c:pt>
                <c:pt idx="373">
                  <c:v>46385</c:v>
                </c:pt>
                <c:pt idx="374">
                  <c:v>46386</c:v>
                </c:pt>
                <c:pt idx="375">
                  <c:v>46387</c:v>
                </c:pt>
                <c:pt idx="376">
                  <c:v>46388</c:v>
                </c:pt>
                <c:pt idx="377">
                  <c:v>46389</c:v>
                </c:pt>
                <c:pt idx="378">
                  <c:v>46390</c:v>
                </c:pt>
                <c:pt idx="379">
                  <c:v>46391</c:v>
                </c:pt>
                <c:pt idx="380">
                  <c:v>46392</c:v>
                </c:pt>
                <c:pt idx="381">
                  <c:v>46393</c:v>
                </c:pt>
                <c:pt idx="382">
                  <c:v>46394</c:v>
                </c:pt>
                <c:pt idx="383">
                  <c:v>46395</c:v>
                </c:pt>
                <c:pt idx="384">
                  <c:v>46396</c:v>
                </c:pt>
                <c:pt idx="385">
                  <c:v>46397</c:v>
                </c:pt>
                <c:pt idx="386">
                  <c:v>46398</c:v>
                </c:pt>
                <c:pt idx="387">
                  <c:v>46399</c:v>
                </c:pt>
                <c:pt idx="388">
                  <c:v>46400</c:v>
                </c:pt>
                <c:pt idx="389">
                  <c:v>46401</c:v>
                </c:pt>
                <c:pt idx="390">
                  <c:v>46402</c:v>
                </c:pt>
                <c:pt idx="391">
                  <c:v>46403</c:v>
                </c:pt>
                <c:pt idx="392">
                  <c:v>46404</c:v>
                </c:pt>
                <c:pt idx="393">
                  <c:v>46405</c:v>
                </c:pt>
                <c:pt idx="394">
                  <c:v>46406</c:v>
                </c:pt>
                <c:pt idx="395">
                  <c:v>46407</c:v>
                </c:pt>
                <c:pt idx="396">
                  <c:v>46408</c:v>
                </c:pt>
                <c:pt idx="397">
                  <c:v>46409</c:v>
                </c:pt>
                <c:pt idx="398">
                  <c:v>46410</c:v>
                </c:pt>
                <c:pt idx="399">
                  <c:v>46411</c:v>
                </c:pt>
                <c:pt idx="400">
                  <c:v>46412</c:v>
                </c:pt>
                <c:pt idx="401">
                  <c:v>46413</c:v>
                </c:pt>
                <c:pt idx="402">
                  <c:v>46414</c:v>
                </c:pt>
                <c:pt idx="403">
                  <c:v>46415</c:v>
                </c:pt>
                <c:pt idx="404">
                  <c:v>46416</c:v>
                </c:pt>
                <c:pt idx="405">
                  <c:v>46417</c:v>
                </c:pt>
                <c:pt idx="406">
                  <c:v>46418</c:v>
                </c:pt>
                <c:pt idx="407">
                  <c:v>46419</c:v>
                </c:pt>
                <c:pt idx="408">
                  <c:v>46420</c:v>
                </c:pt>
                <c:pt idx="409">
                  <c:v>46421</c:v>
                </c:pt>
                <c:pt idx="410">
                  <c:v>46422</c:v>
                </c:pt>
                <c:pt idx="411">
                  <c:v>46423</c:v>
                </c:pt>
                <c:pt idx="412">
                  <c:v>46424</c:v>
                </c:pt>
                <c:pt idx="413">
                  <c:v>46425</c:v>
                </c:pt>
                <c:pt idx="414">
                  <c:v>46426</c:v>
                </c:pt>
                <c:pt idx="415">
                  <c:v>46427</c:v>
                </c:pt>
                <c:pt idx="416">
                  <c:v>46428</c:v>
                </c:pt>
                <c:pt idx="417">
                  <c:v>46429</c:v>
                </c:pt>
                <c:pt idx="418">
                  <c:v>46430</c:v>
                </c:pt>
                <c:pt idx="419">
                  <c:v>46431</c:v>
                </c:pt>
                <c:pt idx="420">
                  <c:v>46432</c:v>
                </c:pt>
                <c:pt idx="421">
                  <c:v>46433</c:v>
                </c:pt>
                <c:pt idx="422">
                  <c:v>46434</c:v>
                </c:pt>
                <c:pt idx="423">
                  <c:v>46435</c:v>
                </c:pt>
                <c:pt idx="424">
                  <c:v>46436</c:v>
                </c:pt>
                <c:pt idx="425">
                  <c:v>46437</c:v>
                </c:pt>
                <c:pt idx="426">
                  <c:v>46438</c:v>
                </c:pt>
                <c:pt idx="427">
                  <c:v>46439</c:v>
                </c:pt>
                <c:pt idx="428">
                  <c:v>46440</c:v>
                </c:pt>
                <c:pt idx="429">
                  <c:v>46441</c:v>
                </c:pt>
                <c:pt idx="430">
                  <c:v>46442</c:v>
                </c:pt>
                <c:pt idx="431">
                  <c:v>46443</c:v>
                </c:pt>
                <c:pt idx="432">
                  <c:v>46444</c:v>
                </c:pt>
                <c:pt idx="433">
                  <c:v>46445</c:v>
                </c:pt>
                <c:pt idx="434">
                  <c:v>46446</c:v>
                </c:pt>
                <c:pt idx="435">
                  <c:v>46447</c:v>
                </c:pt>
                <c:pt idx="436">
                  <c:v>46448</c:v>
                </c:pt>
                <c:pt idx="437">
                  <c:v>46449</c:v>
                </c:pt>
                <c:pt idx="438">
                  <c:v>46450</c:v>
                </c:pt>
                <c:pt idx="439">
                  <c:v>46451</c:v>
                </c:pt>
                <c:pt idx="440">
                  <c:v>46452</c:v>
                </c:pt>
                <c:pt idx="441">
                  <c:v>46453</c:v>
                </c:pt>
                <c:pt idx="442">
                  <c:v>46454</c:v>
                </c:pt>
                <c:pt idx="443">
                  <c:v>46455</c:v>
                </c:pt>
                <c:pt idx="444">
                  <c:v>46456</c:v>
                </c:pt>
                <c:pt idx="445">
                  <c:v>46457</c:v>
                </c:pt>
                <c:pt idx="446">
                  <c:v>46458</c:v>
                </c:pt>
                <c:pt idx="447">
                  <c:v>46459</c:v>
                </c:pt>
                <c:pt idx="448">
                  <c:v>46460</c:v>
                </c:pt>
                <c:pt idx="449">
                  <c:v>46461</c:v>
                </c:pt>
                <c:pt idx="450">
                  <c:v>46462</c:v>
                </c:pt>
                <c:pt idx="451">
                  <c:v>46463</c:v>
                </c:pt>
                <c:pt idx="452">
                  <c:v>46464</c:v>
                </c:pt>
                <c:pt idx="453">
                  <c:v>46465</c:v>
                </c:pt>
                <c:pt idx="454">
                  <c:v>46466</c:v>
                </c:pt>
                <c:pt idx="455">
                  <c:v>46467</c:v>
                </c:pt>
                <c:pt idx="456">
                  <c:v>46468</c:v>
                </c:pt>
                <c:pt idx="457">
                  <c:v>46469</c:v>
                </c:pt>
                <c:pt idx="458">
                  <c:v>46470</c:v>
                </c:pt>
                <c:pt idx="459">
                  <c:v>46471</c:v>
                </c:pt>
                <c:pt idx="460">
                  <c:v>46472</c:v>
                </c:pt>
                <c:pt idx="461">
                  <c:v>46473</c:v>
                </c:pt>
                <c:pt idx="462">
                  <c:v>46474</c:v>
                </c:pt>
                <c:pt idx="463">
                  <c:v>46475</c:v>
                </c:pt>
                <c:pt idx="464">
                  <c:v>46476</c:v>
                </c:pt>
                <c:pt idx="465">
                  <c:v>46477</c:v>
                </c:pt>
                <c:pt idx="466">
                  <c:v>46478</c:v>
                </c:pt>
                <c:pt idx="467">
                  <c:v>46479</c:v>
                </c:pt>
                <c:pt idx="468">
                  <c:v>46480</c:v>
                </c:pt>
                <c:pt idx="469">
                  <c:v>46481</c:v>
                </c:pt>
                <c:pt idx="470">
                  <c:v>46482</c:v>
                </c:pt>
                <c:pt idx="471">
                  <c:v>46483</c:v>
                </c:pt>
                <c:pt idx="472">
                  <c:v>46484</c:v>
                </c:pt>
                <c:pt idx="473">
                  <c:v>46485</c:v>
                </c:pt>
                <c:pt idx="474">
                  <c:v>46486</c:v>
                </c:pt>
                <c:pt idx="475">
                  <c:v>46487</c:v>
                </c:pt>
                <c:pt idx="476">
                  <c:v>46488</c:v>
                </c:pt>
                <c:pt idx="477">
                  <c:v>46489</c:v>
                </c:pt>
                <c:pt idx="478">
                  <c:v>46490</c:v>
                </c:pt>
                <c:pt idx="479">
                  <c:v>46491</c:v>
                </c:pt>
                <c:pt idx="480">
                  <c:v>46492</c:v>
                </c:pt>
                <c:pt idx="481">
                  <c:v>46493</c:v>
                </c:pt>
                <c:pt idx="482">
                  <c:v>46494</c:v>
                </c:pt>
                <c:pt idx="483">
                  <c:v>46495</c:v>
                </c:pt>
                <c:pt idx="484">
                  <c:v>46496</c:v>
                </c:pt>
                <c:pt idx="485">
                  <c:v>46497</c:v>
                </c:pt>
                <c:pt idx="486">
                  <c:v>46498</c:v>
                </c:pt>
                <c:pt idx="487">
                  <c:v>46499</c:v>
                </c:pt>
                <c:pt idx="488">
                  <c:v>46500</c:v>
                </c:pt>
                <c:pt idx="489">
                  <c:v>46501</c:v>
                </c:pt>
                <c:pt idx="490">
                  <c:v>46502</c:v>
                </c:pt>
                <c:pt idx="491">
                  <c:v>46503</c:v>
                </c:pt>
                <c:pt idx="492">
                  <c:v>46504</c:v>
                </c:pt>
                <c:pt idx="493">
                  <c:v>46505</c:v>
                </c:pt>
                <c:pt idx="494">
                  <c:v>46506</c:v>
                </c:pt>
                <c:pt idx="495">
                  <c:v>46507</c:v>
                </c:pt>
                <c:pt idx="496">
                  <c:v>46508</c:v>
                </c:pt>
                <c:pt idx="497">
                  <c:v>46509</c:v>
                </c:pt>
                <c:pt idx="498">
                  <c:v>46510</c:v>
                </c:pt>
                <c:pt idx="499">
                  <c:v>46511</c:v>
                </c:pt>
                <c:pt idx="500">
                  <c:v>46512</c:v>
                </c:pt>
                <c:pt idx="501">
                  <c:v>46513</c:v>
                </c:pt>
                <c:pt idx="502">
                  <c:v>46514</c:v>
                </c:pt>
                <c:pt idx="503">
                  <c:v>46515</c:v>
                </c:pt>
                <c:pt idx="504">
                  <c:v>46516</c:v>
                </c:pt>
                <c:pt idx="505">
                  <c:v>46517</c:v>
                </c:pt>
                <c:pt idx="506">
                  <c:v>46518</c:v>
                </c:pt>
                <c:pt idx="507">
                  <c:v>46519</c:v>
                </c:pt>
                <c:pt idx="508">
                  <c:v>46520</c:v>
                </c:pt>
                <c:pt idx="509">
                  <c:v>46521</c:v>
                </c:pt>
                <c:pt idx="510">
                  <c:v>46522</c:v>
                </c:pt>
                <c:pt idx="511">
                  <c:v>46523</c:v>
                </c:pt>
                <c:pt idx="512">
                  <c:v>46524</c:v>
                </c:pt>
                <c:pt idx="513">
                  <c:v>46525</c:v>
                </c:pt>
                <c:pt idx="514">
                  <c:v>46526</c:v>
                </c:pt>
                <c:pt idx="515">
                  <c:v>46527</c:v>
                </c:pt>
                <c:pt idx="516">
                  <c:v>46528</c:v>
                </c:pt>
                <c:pt idx="517">
                  <c:v>46529</c:v>
                </c:pt>
                <c:pt idx="518">
                  <c:v>46530</c:v>
                </c:pt>
                <c:pt idx="519">
                  <c:v>46531</c:v>
                </c:pt>
                <c:pt idx="520">
                  <c:v>46532</c:v>
                </c:pt>
                <c:pt idx="521">
                  <c:v>46533</c:v>
                </c:pt>
                <c:pt idx="522">
                  <c:v>46534</c:v>
                </c:pt>
                <c:pt idx="523">
                  <c:v>46535</c:v>
                </c:pt>
                <c:pt idx="524">
                  <c:v>46536</c:v>
                </c:pt>
                <c:pt idx="525">
                  <c:v>46537</c:v>
                </c:pt>
                <c:pt idx="526">
                  <c:v>46538</c:v>
                </c:pt>
                <c:pt idx="527">
                  <c:v>46539</c:v>
                </c:pt>
                <c:pt idx="528">
                  <c:v>46540</c:v>
                </c:pt>
                <c:pt idx="529">
                  <c:v>46541</c:v>
                </c:pt>
                <c:pt idx="530">
                  <c:v>46542</c:v>
                </c:pt>
                <c:pt idx="531">
                  <c:v>46543</c:v>
                </c:pt>
                <c:pt idx="532">
                  <c:v>46544</c:v>
                </c:pt>
                <c:pt idx="533">
                  <c:v>46545</c:v>
                </c:pt>
                <c:pt idx="534">
                  <c:v>46546</c:v>
                </c:pt>
                <c:pt idx="535">
                  <c:v>46547</c:v>
                </c:pt>
                <c:pt idx="536">
                  <c:v>46548</c:v>
                </c:pt>
                <c:pt idx="537">
                  <c:v>46549</c:v>
                </c:pt>
                <c:pt idx="538">
                  <c:v>46550</c:v>
                </c:pt>
                <c:pt idx="539">
                  <c:v>46551</c:v>
                </c:pt>
                <c:pt idx="540">
                  <c:v>46552</c:v>
                </c:pt>
                <c:pt idx="541">
                  <c:v>46553</c:v>
                </c:pt>
                <c:pt idx="542">
                  <c:v>46554</c:v>
                </c:pt>
                <c:pt idx="543">
                  <c:v>46555</c:v>
                </c:pt>
                <c:pt idx="544">
                  <c:v>46556</c:v>
                </c:pt>
                <c:pt idx="545">
                  <c:v>46557</c:v>
                </c:pt>
                <c:pt idx="546">
                  <c:v>46558</c:v>
                </c:pt>
                <c:pt idx="547">
                  <c:v>46559</c:v>
                </c:pt>
                <c:pt idx="548">
                  <c:v>46560</c:v>
                </c:pt>
                <c:pt idx="549">
                  <c:v>46561</c:v>
                </c:pt>
                <c:pt idx="550">
                  <c:v>46562</c:v>
                </c:pt>
                <c:pt idx="551">
                  <c:v>46563</c:v>
                </c:pt>
                <c:pt idx="552">
                  <c:v>46564</c:v>
                </c:pt>
                <c:pt idx="553">
                  <c:v>46565</c:v>
                </c:pt>
                <c:pt idx="554">
                  <c:v>46566</c:v>
                </c:pt>
                <c:pt idx="555">
                  <c:v>46567</c:v>
                </c:pt>
                <c:pt idx="556">
                  <c:v>46568</c:v>
                </c:pt>
                <c:pt idx="557">
                  <c:v>46569</c:v>
                </c:pt>
                <c:pt idx="558">
                  <c:v>46570</c:v>
                </c:pt>
                <c:pt idx="559">
                  <c:v>46571</c:v>
                </c:pt>
                <c:pt idx="560">
                  <c:v>46572</c:v>
                </c:pt>
                <c:pt idx="561">
                  <c:v>46573</c:v>
                </c:pt>
                <c:pt idx="562">
                  <c:v>46574</c:v>
                </c:pt>
                <c:pt idx="563">
                  <c:v>46575</c:v>
                </c:pt>
                <c:pt idx="564">
                  <c:v>46576</c:v>
                </c:pt>
                <c:pt idx="565">
                  <c:v>46577</c:v>
                </c:pt>
                <c:pt idx="566">
                  <c:v>46578</c:v>
                </c:pt>
                <c:pt idx="567">
                  <c:v>46579</c:v>
                </c:pt>
                <c:pt idx="568">
                  <c:v>46580</c:v>
                </c:pt>
                <c:pt idx="569">
                  <c:v>46581</c:v>
                </c:pt>
                <c:pt idx="570">
                  <c:v>46582</c:v>
                </c:pt>
                <c:pt idx="571">
                  <c:v>46583</c:v>
                </c:pt>
                <c:pt idx="572">
                  <c:v>46584</c:v>
                </c:pt>
                <c:pt idx="573">
                  <c:v>46585</c:v>
                </c:pt>
                <c:pt idx="574">
                  <c:v>46586</c:v>
                </c:pt>
                <c:pt idx="575">
                  <c:v>46587</c:v>
                </c:pt>
                <c:pt idx="576">
                  <c:v>46588</c:v>
                </c:pt>
                <c:pt idx="577">
                  <c:v>46589</c:v>
                </c:pt>
                <c:pt idx="578">
                  <c:v>46590</c:v>
                </c:pt>
                <c:pt idx="579">
                  <c:v>46591</c:v>
                </c:pt>
                <c:pt idx="580">
                  <c:v>46592</c:v>
                </c:pt>
                <c:pt idx="581">
                  <c:v>46593</c:v>
                </c:pt>
                <c:pt idx="582">
                  <c:v>46594</c:v>
                </c:pt>
                <c:pt idx="583">
                  <c:v>46595</c:v>
                </c:pt>
                <c:pt idx="584">
                  <c:v>46596</c:v>
                </c:pt>
                <c:pt idx="585">
                  <c:v>46597</c:v>
                </c:pt>
                <c:pt idx="586">
                  <c:v>46598</c:v>
                </c:pt>
                <c:pt idx="587">
                  <c:v>46599</c:v>
                </c:pt>
                <c:pt idx="588">
                  <c:v>46600</c:v>
                </c:pt>
                <c:pt idx="589">
                  <c:v>46601</c:v>
                </c:pt>
                <c:pt idx="590">
                  <c:v>46602</c:v>
                </c:pt>
                <c:pt idx="591">
                  <c:v>46603</c:v>
                </c:pt>
                <c:pt idx="592">
                  <c:v>46604</c:v>
                </c:pt>
                <c:pt idx="593">
                  <c:v>46605</c:v>
                </c:pt>
                <c:pt idx="594">
                  <c:v>46606</c:v>
                </c:pt>
                <c:pt idx="595">
                  <c:v>46607</c:v>
                </c:pt>
                <c:pt idx="596">
                  <c:v>46608</c:v>
                </c:pt>
                <c:pt idx="597">
                  <c:v>46609</c:v>
                </c:pt>
                <c:pt idx="598">
                  <c:v>46610</c:v>
                </c:pt>
                <c:pt idx="599">
                  <c:v>46611</c:v>
                </c:pt>
                <c:pt idx="600">
                  <c:v>46612</c:v>
                </c:pt>
                <c:pt idx="601">
                  <c:v>46613</c:v>
                </c:pt>
                <c:pt idx="602">
                  <c:v>46614</c:v>
                </c:pt>
                <c:pt idx="603">
                  <c:v>46615</c:v>
                </c:pt>
                <c:pt idx="604">
                  <c:v>46616</c:v>
                </c:pt>
                <c:pt idx="605">
                  <c:v>46617</c:v>
                </c:pt>
                <c:pt idx="606">
                  <c:v>46618</c:v>
                </c:pt>
                <c:pt idx="607">
                  <c:v>46619</c:v>
                </c:pt>
                <c:pt idx="608">
                  <c:v>46620</c:v>
                </c:pt>
                <c:pt idx="609">
                  <c:v>46621</c:v>
                </c:pt>
                <c:pt idx="610">
                  <c:v>46622</c:v>
                </c:pt>
                <c:pt idx="611">
                  <c:v>46623</c:v>
                </c:pt>
                <c:pt idx="612">
                  <c:v>46624</c:v>
                </c:pt>
                <c:pt idx="613">
                  <c:v>46625</c:v>
                </c:pt>
                <c:pt idx="614">
                  <c:v>46626</c:v>
                </c:pt>
                <c:pt idx="615">
                  <c:v>46627</c:v>
                </c:pt>
                <c:pt idx="616">
                  <c:v>46628</c:v>
                </c:pt>
                <c:pt idx="617">
                  <c:v>46629</c:v>
                </c:pt>
                <c:pt idx="618">
                  <c:v>46630</c:v>
                </c:pt>
                <c:pt idx="619">
                  <c:v>46631</c:v>
                </c:pt>
                <c:pt idx="620">
                  <c:v>46632</c:v>
                </c:pt>
                <c:pt idx="621">
                  <c:v>46633</c:v>
                </c:pt>
                <c:pt idx="622">
                  <c:v>46634</c:v>
                </c:pt>
                <c:pt idx="623">
                  <c:v>46635</c:v>
                </c:pt>
                <c:pt idx="624">
                  <c:v>46636</c:v>
                </c:pt>
                <c:pt idx="625">
                  <c:v>46637</c:v>
                </c:pt>
                <c:pt idx="626">
                  <c:v>46638</c:v>
                </c:pt>
                <c:pt idx="627">
                  <c:v>46639</c:v>
                </c:pt>
                <c:pt idx="628">
                  <c:v>46640</c:v>
                </c:pt>
                <c:pt idx="629">
                  <c:v>46641</c:v>
                </c:pt>
                <c:pt idx="630">
                  <c:v>46642</c:v>
                </c:pt>
                <c:pt idx="631">
                  <c:v>46643</c:v>
                </c:pt>
                <c:pt idx="632">
                  <c:v>46644</c:v>
                </c:pt>
                <c:pt idx="633">
                  <c:v>46645</c:v>
                </c:pt>
                <c:pt idx="634">
                  <c:v>46646</c:v>
                </c:pt>
                <c:pt idx="635">
                  <c:v>46647</c:v>
                </c:pt>
                <c:pt idx="636">
                  <c:v>46648</c:v>
                </c:pt>
                <c:pt idx="637">
                  <c:v>46649</c:v>
                </c:pt>
                <c:pt idx="638">
                  <c:v>46650</c:v>
                </c:pt>
                <c:pt idx="639">
                  <c:v>46651</c:v>
                </c:pt>
                <c:pt idx="640">
                  <c:v>46652</c:v>
                </c:pt>
                <c:pt idx="641">
                  <c:v>46653</c:v>
                </c:pt>
                <c:pt idx="642">
                  <c:v>46654</c:v>
                </c:pt>
                <c:pt idx="643">
                  <c:v>46655</c:v>
                </c:pt>
                <c:pt idx="644">
                  <c:v>46656</c:v>
                </c:pt>
                <c:pt idx="645">
                  <c:v>46657</c:v>
                </c:pt>
                <c:pt idx="646">
                  <c:v>46658</c:v>
                </c:pt>
                <c:pt idx="647">
                  <c:v>46659</c:v>
                </c:pt>
                <c:pt idx="648">
                  <c:v>46660</c:v>
                </c:pt>
                <c:pt idx="649">
                  <c:v>46661</c:v>
                </c:pt>
                <c:pt idx="650">
                  <c:v>46662</c:v>
                </c:pt>
                <c:pt idx="651">
                  <c:v>46663</c:v>
                </c:pt>
                <c:pt idx="652">
                  <c:v>46664</c:v>
                </c:pt>
                <c:pt idx="653">
                  <c:v>46665</c:v>
                </c:pt>
                <c:pt idx="654">
                  <c:v>46666</c:v>
                </c:pt>
                <c:pt idx="655">
                  <c:v>46667</c:v>
                </c:pt>
                <c:pt idx="656">
                  <c:v>46668</c:v>
                </c:pt>
                <c:pt idx="657">
                  <c:v>46669</c:v>
                </c:pt>
                <c:pt idx="658">
                  <c:v>46670</c:v>
                </c:pt>
                <c:pt idx="659">
                  <c:v>46671</c:v>
                </c:pt>
                <c:pt idx="660">
                  <c:v>46672</c:v>
                </c:pt>
                <c:pt idx="661">
                  <c:v>46673</c:v>
                </c:pt>
                <c:pt idx="662">
                  <c:v>46674</c:v>
                </c:pt>
                <c:pt idx="663">
                  <c:v>46675</c:v>
                </c:pt>
                <c:pt idx="664">
                  <c:v>46676</c:v>
                </c:pt>
                <c:pt idx="665">
                  <c:v>46677</c:v>
                </c:pt>
                <c:pt idx="666">
                  <c:v>46678</c:v>
                </c:pt>
                <c:pt idx="667">
                  <c:v>46679</c:v>
                </c:pt>
                <c:pt idx="668">
                  <c:v>46680</c:v>
                </c:pt>
                <c:pt idx="669">
                  <c:v>46681</c:v>
                </c:pt>
                <c:pt idx="670">
                  <c:v>46682</c:v>
                </c:pt>
                <c:pt idx="671">
                  <c:v>46683</c:v>
                </c:pt>
                <c:pt idx="672">
                  <c:v>46684</c:v>
                </c:pt>
                <c:pt idx="673">
                  <c:v>46685</c:v>
                </c:pt>
                <c:pt idx="674">
                  <c:v>46686</c:v>
                </c:pt>
                <c:pt idx="675">
                  <c:v>46687</c:v>
                </c:pt>
                <c:pt idx="676">
                  <c:v>46688</c:v>
                </c:pt>
                <c:pt idx="677">
                  <c:v>46689</c:v>
                </c:pt>
                <c:pt idx="678">
                  <c:v>46690</c:v>
                </c:pt>
                <c:pt idx="679">
                  <c:v>46691</c:v>
                </c:pt>
                <c:pt idx="680">
                  <c:v>46692</c:v>
                </c:pt>
                <c:pt idx="681">
                  <c:v>46693</c:v>
                </c:pt>
                <c:pt idx="682">
                  <c:v>46694</c:v>
                </c:pt>
                <c:pt idx="683">
                  <c:v>46695</c:v>
                </c:pt>
                <c:pt idx="684">
                  <c:v>46696</c:v>
                </c:pt>
                <c:pt idx="685">
                  <c:v>46697</c:v>
                </c:pt>
                <c:pt idx="686">
                  <c:v>46698</c:v>
                </c:pt>
                <c:pt idx="687">
                  <c:v>46699</c:v>
                </c:pt>
                <c:pt idx="688">
                  <c:v>46700</c:v>
                </c:pt>
                <c:pt idx="689">
                  <c:v>46701</c:v>
                </c:pt>
                <c:pt idx="690">
                  <c:v>46702</c:v>
                </c:pt>
                <c:pt idx="691">
                  <c:v>46703</c:v>
                </c:pt>
                <c:pt idx="692">
                  <c:v>46704</c:v>
                </c:pt>
                <c:pt idx="693">
                  <c:v>46705</c:v>
                </c:pt>
                <c:pt idx="694">
                  <c:v>46706</c:v>
                </c:pt>
                <c:pt idx="695">
                  <c:v>46707</c:v>
                </c:pt>
                <c:pt idx="696">
                  <c:v>46708</c:v>
                </c:pt>
                <c:pt idx="697">
                  <c:v>46709</c:v>
                </c:pt>
                <c:pt idx="698">
                  <c:v>46710</c:v>
                </c:pt>
                <c:pt idx="699">
                  <c:v>46711</c:v>
                </c:pt>
                <c:pt idx="700">
                  <c:v>46712</c:v>
                </c:pt>
                <c:pt idx="701">
                  <c:v>46713</c:v>
                </c:pt>
                <c:pt idx="702">
                  <c:v>46714</c:v>
                </c:pt>
                <c:pt idx="703">
                  <c:v>46715</c:v>
                </c:pt>
                <c:pt idx="704">
                  <c:v>46716</c:v>
                </c:pt>
                <c:pt idx="705">
                  <c:v>46717</c:v>
                </c:pt>
                <c:pt idx="706">
                  <c:v>46718</c:v>
                </c:pt>
                <c:pt idx="707">
                  <c:v>46719</c:v>
                </c:pt>
                <c:pt idx="708">
                  <c:v>46720</c:v>
                </c:pt>
                <c:pt idx="709">
                  <c:v>46721</c:v>
                </c:pt>
                <c:pt idx="710">
                  <c:v>46722</c:v>
                </c:pt>
                <c:pt idx="711">
                  <c:v>46723</c:v>
                </c:pt>
                <c:pt idx="712">
                  <c:v>46724</c:v>
                </c:pt>
                <c:pt idx="713">
                  <c:v>46725</c:v>
                </c:pt>
                <c:pt idx="714">
                  <c:v>46726</c:v>
                </c:pt>
                <c:pt idx="715">
                  <c:v>46727</c:v>
                </c:pt>
                <c:pt idx="716">
                  <c:v>46728</c:v>
                </c:pt>
                <c:pt idx="717">
                  <c:v>46729</c:v>
                </c:pt>
                <c:pt idx="718">
                  <c:v>46730</c:v>
                </c:pt>
                <c:pt idx="719">
                  <c:v>46731</c:v>
                </c:pt>
              </c:numCache>
            </c:numRef>
          </c:cat>
          <c:val>
            <c:numRef>
              <c:f>HHS_Unaccompanied_Alien_Childre!$G$2:$G$722</c:f>
              <c:numCache>
                <c:formatCode>General</c:formatCode>
                <c:ptCount val="721"/>
                <c:pt idx="0">
                  <c:v>14</c:v>
                </c:pt>
                <c:pt idx="1">
                  <c:v>16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12</c:v>
                </c:pt>
                <c:pt idx="11">
                  <c:v>13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0</c:v>
                </c:pt>
                <c:pt idx="16">
                  <c:v>7</c:v>
                </c:pt>
                <c:pt idx="17">
                  <c:v>11</c:v>
                </c:pt>
                <c:pt idx="18">
                  <c:v>13</c:v>
                </c:pt>
                <c:pt idx="19">
                  <c:v>1</c:v>
                </c:pt>
                <c:pt idx="20">
                  <c:v>9</c:v>
                </c:pt>
                <c:pt idx="21">
                  <c:v>10</c:v>
                </c:pt>
                <c:pt idx="22">
                  <c:v>12</c:v>
                </c:pt>
                <c:pt idx="23">
                  <c:v>8</c:v>
                </c:pt>
                <c:pt idx="24">
                  <c:v>5</c:v>
                </c:pt>
                <c:pt idx="25">
                  <c:v>5</c:v>
                </c:pt>
                <c:pt idx="26">
                  <c:v>7</c:v>
                </c:pt>
                <c:pt idx="27">
                  <c:v>14</c:v>
                </c:pt>
                <c:pt idx="28">
                  <c:v>4</c:v>
                </c:pt>
                <c:pt idx="29">
                  <c:v>19</c:v>
                </c:pt>
                <c:pt idx="30">
                  <c:v>7</c:v>
                </c:pt>
                <c:pt idx="31">
                  <c:v>8</c:v>
                </c:pt>
                <c:pt idx="32">
                  <c:v>12</c:v>
                </c:pt>
                <c:pt idx="33">
                  <c:v>7</c:v>
                </c:pt>
                <c:pt idx="34">
                  <c:v>12</c:v>
                </c:pt>
                <c:pt idx="35">
                  <c:v>17</c:v>
                </c:pt>
                <c:pt idx="36">
                  <c:v>6</c:v>
                </c:pt>
                <c:pt idx="37">
                  <c:v>11</c:v>
                </c:pt>
                <c:pt idx="38">
                  <c:v>10</c:v>
                </c:pt>
                <c:pt idx="39">
                  <c:v>18</c:v>
                </c:pt>
                <c:pt idx="40">
                  <c:v>12</c:v>
                </c:pt>
                <c:pt idx="41">
                  <c:v>9</c:v>
                </c:pt>
                <c:pt idx="42">
                  <c:v>7</c:v>
                </c:pt>
                <c:pt idx="43">
                  <c:v>7</c:v>
                </c:pt>
                <c:pt idx="44">
                  <c:v>9</c:v>
                </c:pt>
                <c:pt idx="45">
                  <c:v>15</c:v>
                </c:pt>
                <c:pt idx="46">
                  <c:v>8</c:v>
                </c:pt>
                <c:pt idx="47">
                  <c:v>6</c:v>
                </c:pt>
                <c:pt idx="48">
                  <c:v>12</c:v>
                </c:pt>
                <c:pt idx="49">
                  <c:v>17</c:v>
                </c:pt>
                <c:pt idx="50">
                  <c:v>10</c:v>
                </c:pt>
                <c:pt idx="51">
                  <c:v>10</c:v>
                </c:pt>
                <c:pt idx="52">
                  <c:v>16</c:v>
                </c:pt>
                <c:pt idx="53">
                  <c:v>16</c:v>
                </c:pt>
                <c:pt idx="54">
                  <c:v>14</c:v>
                </c:pt>
                <c:pt idx="55">
                  <c:v>7</c:v>
                </c:pt>
                <c:pt idx="56">
                  <c:v>13</c:v>
                </c:pt>
                <c:pt idx="57">
                  <c:v>9</c:v>
                </c:pt>
                <c:pt idx="58">
                  <c:v>18</c:v>
                </c:pt>
                <c:pt idx="59">
                  <c:v>17</c:v>
                </c:pt>
                <c:pt idx="60">
                  <c:v>15</c:v>
                </c:pt>
                <c:pt idx="61">
                  <c:v>10</c:v>
                </c:pt>
                <c:pt idx="62">
                  <c:v>5</c:v>
                </c:pt>
                <c:pt idx="63">
                  <c:v>14</c:v>
                </c:pt>
                <c:pt idx="64">
                  <c:v>13</c:v>
                </c:pt>
                <c:pt idx="65">
                  <c:v>12</c:v>
                </c:pt>
                <c:pt idx="66">
                  <c:v>10</c:v>
                </c:pt>
                <c:pt idx="67">
                  <c:v>5</c:v>
                </c:pt>
                <c:pt idx="68">
                  <c:v>6</c:v>
                </c:pt>
                <c:pt idx="69">
                  <c:v>18</c:v>
                </c:pt>
                <c:pt idx="70">
                  <c:v>14</c:v>
                </c:pt>
                <c:pt idx="71">
                  <c:v>6</c:v>
                </c:pt>
                <c:pt idx="72">
                  <c:v>7</c:v>
                </c:pt>
                <c:pt idx="73">
                  <c:v>14</c:v>
                </c:pt>
                <c:pt idx="74">
                  <c:v>10</c:v>
                </c:pt>
                <c:pt idx="75">
                  <c:v>9</c:v>
                </c:pt>
                <c:pt idx="76">
                  <c:v>5</c:v>
                </c:pt>
                <c:pt idx="77">
                  <c:v>17</c:v>
                </c:pt>
                <c:pt idx="78">
                  <c:v>19</c:v>
                </c:pt>
                <c:pt idx="79">
                  <c:v>15</c:v>
                </c:pt>
                <c:pt idx="80">
                  <c:v>11</c:v>
                </c:pt>
                <c:pt idx="81">
                  <c:v>5</c:v>
                </c:pt>
                <c:pt idx="82">
                  <c:v>21</c:v>
                </c:pt>
                <c:pt idx="83">
                  <c:v>10</c:v>
                </c:pt>
                <c:pt idx="84">
                  <c:v>11</c:v>
                </c:pt>
                <c:pt idx="85">
                  <c:v>14</c:v>
                </c:pt>
                <c:pt idx="86">
                  <c:v>3</c:v>
                </c:pt>
                <c:pt idx="87">
                  <c:v>11</c:v>
                </c:pt>
                <c:pt idx="88">
                  <c:v>17</c:v>
                </c:pt>
                <c:pt idx="89">
                  <c:v>9</c:v>
                </c:pt>
                <c:pt idx="90">
                  <c:v>16</c:v>
                </c:pt>
                <c:pt idx="91">
                  <c:v>12</c:v>
                </c:pt>
                <c:pt idx="92">
                  <c:v>17</c:v>
                </c:pt>
                <c:pt idx="93">
                  <c:v>13</c:v>
                </c:pt>
                <c:pt idx="94">
                  <c:v>14</c:v>
                </c:pt>
                <c:pt idx="95">
                  <c:v>14</c:v>
                </c:pt>
                <c:pt idx="96">
                  <c:v>5</c:v>
                </c:pt>
                <c:pt idx="97">
                  <c:v>15</c:v>
                </c:pt>
                <c:pt idx="98">
                  <c:v>16</c:v>
                </c:pt>
                <c:pt idx="99">
                  <c:v>12</c:v>
                </c:pt>
                <c:pt idx="100">
                  <c:v>14</c:v>
                </c:pt>
                <c:pt idx="101">
                  <c:v>4</c:v>
                </c:pt>
                <c:pt idx="102">
                  <c:v>29</c:v>
                </c:pt>
                <c:pt idx="103">
                  <c:v>14</c:v>
                </c:pt>
                <c:pt idx="104">
                  <c:v>16</c:v>
                </c:pt>
                <c:pt idx="105">
                  <c:v>16</c:v>
                </c:pt>
                <c:pt idx="106">
                  <c:v>17</c:v>
                </c:pt>
                <c:pt idx="107">
                  <c:v>11</c:v>
                </c:pt>
                <c:pt idx="108">
                  <c:v>17</c:v>
                </c:pt>
                <c:pt idx="109">
                  <c:v>26</c:v>
                </c:pt>
                <c:pt idx="110">
                  <c:v>10</c:v>
                </c:pt>
                <c:pt idx="111">
                  <c:v>39</c:v>
                </c:pt>
                <c:pt idx="112">
                  <c:v>32</c:v>
                </c:pt>
                <c:pt idx="113">
                  <c:v>20</c:v>
                </c:pt>
                <c:pt idx="114">
                  <c:v>20</c:v>
                </c:pt>
                <c:pt idx="115">
                  <c:v>8</c:v>
                </c:pt>
                <c:pt idx="116">
                  <c:v>38</c:v>
                </c:pt>
                <c:pt idx="117">
                  <c:v>22</c:v>
                </c:pt>
                <c:pt idx="118">
                  <c:v>16</c:v>
                </c:pt>
                <c:pt idx="119">
                  <c:v>20</c:v>
                </c:pt>
                <c:pt idx="120">
                  <c:v>35</c:v>
                </c:pt>
                <c:pt idx="121">
                  <c:v>24</c:v>
                </c:pt>
                <c:pt idx="122">
                  <c:v>16</c:v>
                </c:pt>
                <c:pt idx="123">
                  <c:v>17</c:v>
                </c:pt>
                <c:pt idx="124">
                  <c:v>7</c:v>
                </c:pt>
                <c:pt idx="125">
                  <c:v>18</c:v>
                </c:pt>
                <c:pt idx="126">
                  <c:v>14</c:v>
                </c:pt>
                <c:pt idx="127">
                  <c:v>12</c:v>
                </c:pt>
                <c:pt idx="128">
                  <c:v>9</c:v>
                </c:pt>
                <c:pt idx="129">
                  <c:v>13</c:v>
                </c:pt>
                <c:pt idx="130">
                  <c:v>21</c:v>
                </c:pt>
                <c:pt idx="131">
                  <c:v>16</c:v>
                </c:pt>
                <c:pt idx="132">
                  <c:v>15</c:v>
                </c:pt>
                <c:pt idx="133">
                  <c:v>16</c:v>
                </c:pt>
                <c:pt idx="134">
                  <c:v>12</c:v>
                </c:pt>
                <c:pt idx="135">
                  <c:v>11</c:v>
                </c:pt>
                <c:pt idx="136">
                  <c:v>14</c:v>
                </c:pt>
                <c:pt idx="137">
                  <c:v>11</c:v>
                </c:pt>
                <c:pt idx="138">
                  <c:v>15</c:v>
                </c:pt>
                <c:pt idx="139">
                  <c:v>18</c:v>
                </c:pt>
                <c:pt idx="140">
                  <c:v>6</c:v>
                </c:pt>
                <c:pt idx="141">
                  <c:v>9</c:v>
                </c:pt>
                <c:pt idx="142">
                  <c:v>14</c:v>
                </c:pt>
                <c:pt idx="143">
                  <c:v>11</c:v>
                </c:pt>
                <c:pt idx="144">
                  <c:v>11</c:v>
                </c:pt>
                <c:pt idx="145">
                  <c:v>7</c:v>
                </c:pt>
                <c:pt idx="146">
                  <c:v>3</c:v>
                </c:pt>
                <c:pt idx="147">
                  <c:v>11</c:v>
                </c:pt>
                <c:pt idx="148">
                  <c:v>10</c:v>
                </c:pt>
                <c:pt idx="149">
                  <c:v>16</c:v>
                </c:pt>
                <c:pt idx="150">
                  <c:v>17</c:v>
                </c:pt>
                <c:pt idx="151">
                  <c:v>5</c:v>
                </c:pt>
                <c:pt idx="152">
                  <c:v>16</c:v>
                </c:pt>
                <c:pt idx="153">
                  <c:v>12</c:v>
                </c:pt>
                <c:pt idx="154">
                  <c:v>15</c:v>
                </c:pt>
                <c:pt idx="155">
                  <c:v>8</c:v>
                </c:pt>
                <c:pt idx="156">
                  <c:v>4</c:v>
                </c:pt>
                <c:pt idx="157">
                  <c:v>13</c:v>
                </c:pt>
                <c:pt idx="158">
                  <c:v>11</c:v>
                </c:pt>
                <c:pt idx="159">
                  <c:v>17</c:v>
                </c:pt>
                <c:pt idx="160">
                  <c:v>6</c:v>
                </c:pt>
                <c:pt idx="161">
                  <c:v>4</c:v>
                </c:pt>
                <c:pt idx="162">
                  <c:v>14</c:v>
                </c:pt>
                <c:pt idx="163">
                  <c:v>8</c:v>
                </c:pt>
                <c:pt idx="164">
                  <c:v>7</c:v>
                </c:pt>
                <c:pt idx="165">
                  <c:v>13</c:v>
                </c:pt>
                <c:pt idx="166">
                  <c:v>3</c:v>
                </c:pt>
                <c:pt idx="167">
                  <c:v>9</c:v>
                </c:pt>
                <c:pt idx="168">
                  <c:v>6</c:v>
                </c:pt>
                <c:pt idx="169">
                  <c:v>5</c:v>
                </c:pt>
                <c:pt idx="170">
                  <c:v>9</c:v>
                </c:pt>
                <c:pt idx="171">
                  <c:v>5</c:v>
                </c:pt>
                <c:pt idx="172">
                  <c:v>11</c:v>
                </c:pt>
                <c:pt idx="173">
                  <c:v>8</c:v>
                </c:pt>
                <c:pt idx="174">
                  <c:v>3</c:v>
                </c:pt>
                <c:pt idx="175">
                  <c:v>12</c:v>
                </c:pt>
                <c:pt idx="176">
                  <c:v>5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6</c:v>
                </c:pt>
                <c:pt idx="181">
                  <c:v>7</c:v>
                </c:pt>
                <c:pt idx="182">
                  <c:v>2</c:v>
                </c:pt>
                <c:pt idx="183">
                  <c:v>7</c:v>
                </c:pt>
                <c:pt idx="184">
                  <c:v>9</c:v>
                </c:pt>
                <c:pt idx="185">
                  <c:v>8</c:v>
                </c:pt>
                <c:pt idx="186">
                  <c:v>8</c:v>
                </c:pt>
                <c:pt idx="187">
                  <c:v>5</c:v>
                </c:pt>
                <c:pt idx="188">
                  <c:v>6</c:v>
                </c:pt>
                <c:pt idx="189">
                  <c:v>8</c:v>
                </c:pt>
                <c:pt idx="190">
                  <c:v>20</c:v>
                </c:pt>
                <c:pt idx="191">
                  <c:v>23</c:v>
                </c:pt>
                <c:pt idx="192">
                  <c:v>30</c:v>
                </c:pt>
                <c:pt idx="193">
                  <c:v>33</c:v>
                </c:pt>
                <c:pt idx="194">
                  <c:v>40</c:v>
                </c:pt>
                <c:pt idx="195">
                  <c:v>30</c:v>
                </c:pt>
                <c:pt idx="196">
                  <c:v>25</c:v>
                </c:pt>
                <c:pt idx="197">
                  <c:v>31</c:v>
                </c:pt>
                <c:pt idx="198">
                  <c:v>37</c:v>
                </c:pt>
                <c:pt idx="199">
                  <c:v>23</c:v>
                </c:pt>
                <c:pt idx="200">
                  <c:v>23</c:v>
                </c:pt>
                <c:pt idx="201">
                  <c:v>24</c:v>
                </c:pt>
                <c:pt idx="202">
                  <c:v>35</c:v>
                </c:pt>
                <c:pt idx="203">
                  <c:v>32</c:v>
                </c:pt>
                <c:pt idx="204">
                  <c:v>19</c:v>
                </c:pt>
                <c:pt idx="205">
                  <c:v>9</c:v>
                </c:pt>
                <c:pt idx="206">
                  <c:v>15</c:v>
                </c:pt>
                <c:pt idx="207">
                  <c:v>72</c:v>
                </c:pt>
                <c:pt idx="208">
                  <c:v>66</c:v>
                </c:pt>
                <c:pt idx="209">
                  <c:v>50</c:v>
                </c:pt>
                <c:pt idx="210">
                  <c:v>63</c:v>
                </c:pt>
                <c:pt idx="211">
                  <c:v>99</c:v>
                </c:pt>
                <c:pt idx="212">
                  <c:v>145</c:v>
                </c:pt>
                <c:pt idx="213">
                  <c:v>104</c:v>
                </c:pt>
                <c:pt idx="214">
                  <c:v>74</c:v>
                </c:pt>
                <c:pt idx="215">
                  <c:v>102</c:v>
                </c:pt>
                <c:pt idx="216">
                  <c:v>168</c:v>
                </c:pt>
                <c:pt idx="217">
                  <c:v>159</c:v>
                </c:pt>
                <c:pt idx="218">
                  <c:v>99</c:v>
                </c:pt>
                <c:pt idx="219">
                  <c:v>101</c:v>
                </c:pt>
                <c:pt idx="220">
                  <c:v>127</c:v>
                </c:pt>
                <c:pt idx="221">
                  <c:v>182</c:v>
                </c:pt>
                <c:pt idx="222">
                  <c:v>174</c:v>
                </c:pt>
                <c:pt idx="223">
                  <c:v>83</c:v>
                </c:pt>
                <c:pt idx="224">
                  <c:v>54</c:v>
                </c:pt>
                <c:pt idx="225">
                  <c:v>127</c:v>
                </c:pt>
                <c:pt idx="226">
                  <c:v>176</c:v>
                </c:pt>
                <c:pt idx="227">
                  <c:v>159</c:v>
                </c:pt>
                <c:pt idx="228">
                  <c:v>164</c:v>
                </c:pt>
                <c:pt idx="229">
                  <c:v>139</c:v>
                </c:pt>
                <c:pt idx="230">
                  <c:v>181</c:v>
                </c:pt>
                <c:pt idx="231">
                  <c:v>235</c:v>
                </c:pt>
                <c:pt idx="232">
                  <c:v>164</c:v>
                </c:pt>
                <c:pt idx="233">
                  <c:v>184</c:v>
                </c:pt>
                <c:pt idx="234">
                  <c:v>133</c:v>
                </c:pt>
                <c:pt idx="235">
                  <c:v>190</c:v>
                </c:pt>
                <c:pt idx="236">
                  <c:v>185</c:v>
                </c:pt>
                <c:pt idx="237">
                  <c:v>170</c:v>
                </c:pt>
                <c:pt idx="238">
                  <c:v>144</c:v>
                </c:pt>
                <c:pt idx="239">
                  <c:v>177</c:v>
                </c:pt>
                <c:pt idx="240">
                  <c:v>216</c:v>
                </c:pt>
                <c:pt idx="241">
                  <c:v>135</c:v>
                </c:pt>
                <c:pt idx="242">
                  <c:v>107</c:v>
                </c:pt>
                <c:pt idx="243">
                  <c:v>155</c:v>
                </c:pt>
                <c:pt idx="244">
                  <c:v>231</c:v>
                </c:pt>
                <c:pt idx="245">
                  <c:v>268</c:v>
                </c:pt>
                <c:pt idx="246">
                  <c:v>238</c:v>
                </c:pt>
                <c:pt idx="247">
                  <c:v>134</c:v>
                </c:pt>
                <c:pt idx="248">
                  <c:v>151</c:v>
                </c:pt>
                <c:pt idx="249">
                  <c:v>149</c:v>
                </c:pt>
                <c:pt idx="250">
                  <c:v>224</c:v>
                </c:pt>
                <c:pt idx="251">
                  <c:v>194</c:v>
                </c:pt>
                <c:pt idx="252">
                  <c:v>152</c:v>
                </c:pt>
                <c:pt idx="253">
                  <c:v>149</c:v>
                </c:pt>
                <c:pt idx="254">
                  <c:v>174</c:v>
                </c:pt>
                <c:pt idx="255">
                  <c:v>172</c:v>
                </c:pt>
                <c:pt idx="256">
                  <c:v>150</c:v>
                </c:pt>
                <c:pt idx="257">
                  <c:v>115</c:v>
                </c:pt>
                <c:pt idx="258">
                  <c:v>107</c:v>
                </c:pt>
                <c:pt idx="259">
                  <c:v>115</c:v>
                </c:pt>
                <c:pt idx="260">
                  <c:v>149</c:v>
                </c:pt>
                <c:pt idx="261">
                  <c:v>143</c:v>
                </c:pt>
                <c:pt idx="262">
                  <c:v>211</c:v>
                </c:pt>
                <c:pt idx="263">
                  <c:v>112</c:v>
                </c:pt>
                <c:pt idx="264">
                  <c:v>129</c:v>
                </c:pt>
                <c:pt idx="265">
                  <c:v>207</c:v>
                </c:pt>
                <c:pt idx="266">
                  <c:v>210</c:v>
                </c:pt>
                <c:pt idx="267">
                  <c:v>148</c:v>
                </c:pt>
                <c:pt idx="268">
                  <c:v>146</c:v>
                </c:pt>
                <c:pt idx="269">
                  <c:v>138</c:v>
                </c:pt>
                <c:pt idx="270">
                  <c:v>195</c:v>
                </c:pt>
                <c:pt idx="271">
                  <c:v>172</c:v>
                </c:pt>
                <c:pt idx="272">
                  <c:v>151</c:v>
                </c:pt>
                <c:pt idx="273">
                  <c:v>138</c:v>
                </c:pt>
                <c:pt idx="274">
                  <c:v>145</c:v>
                </c:pt>
                <c:pt idx="275">
                  <c:v>177</c:v>
                </c:pt>
                <c:pt idx="276">
                  <c:v>137</c:v>
                </c:pt>
                <c:pt idx="277">
                  <c:v>126</c:v>
                </c:pt>
                <c:pt idx="278">
                  <c:v>132</c:v>
                </c:pt>
                <c:pt idx="279">
                  <c:v>184</c:v>
                </c:pt>
                <c:pt idx="280">
                  <c:v>177</c:v>
                </c:pt>
                <c:pt idx="281">
                  <c:v>160</c:v>
                </c:pt>
                <c:pt idx="282">
                  <c:v>126</c:v>
                </c:pt>
                <c:pt idx="283">
                  <c:v>156</c:v>
                </c:pt>
                <c:pt idx="284">
                  <c:v>192</c:v>
                </c:pt>
                <c:pt idx="285">
                  <c:v>138</c:v>
                </c:pt>
                <c:pt idx="286">
                  <c:v>109</c:v>
                </c:pt>
                <c:pt idx="287">
                  <c:v>154</c:v>
                </c:pt>
                <c:pt idx="288">
                  <c:v>195</c:v>
                </c:pt>
                <c:pt idx="289">
                  <c:v>160</c:v>
                </c:pt>
                <c:pt idx="290">
                  <c:v>129</c:v>
                </c:pt>
                <c:pt idx="291">
                  <c:v>107</c:v>
                </c:pt>
                <c:pt idx="292">
                  <c:v>106</c:v>
                </c:pt>
                <c:pt idx="293">
                  <c:v>210</c:v>
                </c:pt>
                <c:pt idx="294">
                  <c:v>159</c:v>
                </c:pt>
                <c:pt idx="295">
                  <c:v>137</c:v>
                </c:pt>
                <c:pt idx="296">
                  <c:v>123</c:v>
                </c:pt>
                <c:pt idx="297">
                  <c:v>153</c:v>
                </c:pt>
                <c:pt idx="298">
                  <c:v>193</c:v>
                </c:pt>
                <c:pt idx="299">
                  <c:v>173</c:v>
                </c:pt>
                <c:pt idx="300">
                  <c:v>137</c:v>
                </c:pt>
                <c:pt idx="301">
                  <c:v>138</c:v>
                </c:pt>
                <c:pt idx="302">
                  <c:v>177</c:v>
                </c:pt>
                <c:pt idx="303">
                  <c:v>185</c:v>
                </c:pt>
                <c:pt idx="304">
                  <c:v>169</c:v>
                </c:pt>
                <c:pt idx="305">
                  <c:v>143</c:v>
                </c:pt>
                <c:pt idx="306">
                  <c:v>165</c:v>
                </c:pt>
                <c:pt idx="307">
                  <c:v>197</c:v>
                </c:pt>
                <c:pt idx="308">
                  <c:v>188</c:v>
                </c:pt>
                <c:pt idx="309">
                  <c:v>149</c:v>
                </c:pt>
                <c:pt idx="310">
                  <c:v>160</c:v>
                </c:pt>
                <c:pt idx="311">
                  <c:v>164</c:v>
                </c:pt>
                <c:pt idx="312">
                  <c:v>210</c:v>
                </c:pt>
                <c:pt idx="313">
                  <c:v>279</c:v>
                </c:pt>
                <c:pt idx="314">
                  <c:v>220</c:v>
                </c:pt>
                <c:pt idx="315">
                  <c:v>162</c:v>
                </c:pt>
                <c:pt idx="316">
                  <c:v>148</c:v>
                </c:pt>
                <c:pt idx="317">
                  <c:v>141</c:v>
                </c:pt>
                <c:pt idx="318">
                  <c:v>221</c:v>
                </c:pt>
                <c:pt idx="319">
                  <c:v>121</c:v>
                </c:pt>
                <c:pt idx="320">
                  <c:v>114</c:v>
                </c:pt>
                <c:pt idx="321">
                  <c:v>112</c:v>
                </c:pt>
                <c:pt idx="322">
                  <c:v>129</c:v>
                </c:pt>
                <c:pt idx="323">
                  <c:v>169</c:v>
                </c:pt>
                <c:pt idx="324">
                  <c:v>134</c:v>
                </c:pt>
                <c:pt idx="325">
                  <c:v>97</c:v>
                </c:pt>
                <c:pt idx="326">
                  <c:v>171</c:v>
                </c:pt>
                <c:pt idx="327">
                  <c:v>156</c:v>
                </c:pt>
                <c:pt idx="328">
                  <c:v>112</c:v>
                </c:pt>
                <c:pt idx="329">
                  <c:v>158</c:v>
                </c:pt>
                <c:pt idx="330">
                  <c:v>178</c:v>
                </c:pt>
                <c:pt idx="331">
                  <c:v>220</c:v>
                </c:pt>
                <c:pt idx="332">
                  <c:v>178</c:v>
                </c:pt>
                <c:pt idx="333">
                  <c:v>123</c:v>
                </c:pt>
                <c:pt idx="334">
                  <c:v>148</c:v>
                </c:pt>
                <c:pt idx="335">
                  <c:v>249</c:v>
                </c:pt>
                <c:pt idx="336">
                  <c:v>174</c:v>
                </c:pt>
                <c:pt idx="337">
                  <c:v>174</c:v>
                </c:pt>
                <c:pt idx="338">
                  <c:v>143</c:v>
                </c:pt>
                <c:pt idx="339">
                  <c:v>150</c:v>
                </c:pt>
                <c:pt idx="340">
                  <c:v>170</c:v>
                </c:pt>
                <c:pt idx="341">
                  <c:v>169</c:v>
                </c:pt>
                <c:pt idx="342">
                  <c:v>154</c:v>
                </c:pt>
                <c:pt idx="343">
                  <c:v>92</c:v>
                </c:pt>
                <c:pt idx="344">
                  <c:v>163</c:v>
                </c:pt>
                <c:pt idx="345">
                  <c:v>207</c:v>
                </c:pt>
                <c:pt idx="346">
                  <c:v>194</c:v>
                </c:pt>
                <c:pt idx="347">
                  <c:v>177</c:v>
                </c:pt>
                <c:pt idx="348">
                  <c:v>170</c:v>
                </c:pt>
                <c:pt idx="349">
                  <c:v>234</c:v>
                </c:pt>
                <c:pt idx="350">
                  <c:v>262</c:v>
                </c:pt>
                <c:pt idx="351">
                  <c:v>187</c:v>
                </c:pt>
                <c:pt idx="352">
                  <c:v>173</c:v>
                </c:pt>
                <c:pt idx="353">
                  <c:v>171</c:v>
                </c:pt>
                <c:pt idx="354">
                  <c:v>237</c:v>
                </c:pt>
                <c:pt idx="355">
                  <c:v>197</c:v>
                </c:pt>
                <c:pt idx="356">
                  <c:v>177</c:v>
                </c:pt>
                <c:pt idx="357">
                  <c:v>130</c:v>
                </c:pt>
                <c:pt idx="358">
                  <c:v>123</c:v>
                </c:pt>
                <c:pt idx="359">
                  <c:v>213</c:v>
                </c:pt>
                <c:pt idx="360">
                  <c:v>225</c:v>
                </c:pt>
                <c:pt idx="361">
                  <c:v>184</c:v>
                </c:pt>
                <c:pt idx="362">
                  <c:v>229</c:v>
                </c:pt>
                <c:pt idx="363">
                  <c:v>273</c:v>
                </c:pt>
                <c:pt idx="364">
                  <c:v>268</c:v>
                </c:pt>
                <c:pt idx="365">
                  <c:v>187</c:v>
                </c:pt>
                <c:pt idx="366">
                  <c:v>202</c:v>
                </c:pt>
                <c:pt idx="367">
                  <c:v>202</c:v>
                </c:pt>
                <c:pt idx="368">
                  <c:v>294</c:v>
                </c:pt>
                <c:pt idx="369">
                  <c:v>235</c:v>
                </c:pt>
                <c:pt idx="370">
                  <c:v>198</c:v>
                </c:pt>
                <c:pt idx="371">
                  <c:v>214</c:v>
                </c:pt>
                <c:pt idx="372">
                  <c:v>224</c:v>
                </c:pt>
                <c:pt idx="373">
                  <c:v>294</c:v>
                </c:pt>
                <c:pt idx="374">
                  <c:v>259</c:v>
                </c:pt>
                <c:pt idx="375">
                  <c:v>212</c:v>
                </c:pt>
                <c:pt idx="376">
                  <c:v>156</c:v>
                </c:pt>
                <c:pt idx="377">
                  <c:v>212</c:v>
                </c:pt>
                <c:pt idx="378">
                  <c:v>312</c:v>
                </c:pt>
                <c:pt idx="379">
                  <c:v>238</c:v>
                </c:pt>
                <c:pt idx="380">
                  <c:v>198</c:v>
                </c:pt>
                <c:pt idx="381">
                  <c:v>203</c:v>
                </c:pt>
                <c:pt idx="382">
                  <c:v>224</c:v>
                </c:pt>
                <c:pt idx="383">
                  <c:v>306</c:v>
                </c:pt>
                <c:pt idx="384">
                  <c:v>190</c:v>
                </c:pt>
                <c:pt idx="385">
                  <c:v>141</c:v>
                </c:pt>
                <c:pt idx="386">
                  <c:v>151</c:v>
                </c:pt>
                <c:pt idx="387">
                  <c:v>167</c:v>
                </c:pt>
                <c:pt idx="388">
                  <c:v>227</c:v>
                </c:pt>
                <c:pt idx="389">
                  <c:v>208</c:v>
                </c:pt>
                <c:pt idx="390">
                  <c:v>145</c:v>
                </c:pt>
                <c:pt idx="391">
                  <c:v>192</c:v>
                </c:pt>
                <c:pt idx="392">
                  <c:v>298</c:v>
                </c:pt>
                <c:pt idx="393">
                  <c:v>234</c:v>
                </c:pt>
                <c:pt idx="394">
                  <c:v>265</c:v>
                </c:pt>
                <c:pt idx="395">
                  <c:v>186</c:v>
                </c:pt>
                <c:pt idx="396">
                  <c:v>157</c:v>
                </c:pt>
                <c:pt idx="397">
                  <c:v>245</c:v>
                </c:pt>
                <c:pt idx="398">
                  <c:v>244</c:v>
                </c:pt>
                <c:pt idx="399">
                  <c:v>202</c:v>
                </c:pt>
                <c:pt idx="400">
                  <c:v>163</c:v>
                </c:pt>
                <c:pt idx="401">
                  <c:v>205</c:v>
                </c:pt>
                <c:pt idx="402">
                  <c:v>332</c:v>
                </c:pt>
                <c:pt idx="403">
                  <c:v>194</c:v>
                </c:pt>
                <c:pt idx="404">
                  <c:v>190</c:v>
                </c:pt>
                <c:pt idx="405">
                  <c:v>135</c:v>
                </c:pt>
                <c:pt idx="406">
                  <c:v>187</c:v>
                </c:pt>
                <c:pt idx="407">
                  <c:v>250</c:v>
                </c:pt>
                <c:pt idx="408">
                  <c:v>217</c:v>
                </c:pt>
                <c:pt idx="409">
                  <c:v>154</c:v>
                </c:pt>
                <c:pt idx="410">
                  <c:v>134</c:v>
                </c:pt>
                <c:pt idx="411">
                  <c:v>214</c:v>
                </c:pt>
                <c:pt idx="412">
                  <c:v>240</c:v>
                </c:pt>
                <c:pt idx="413">
                  <c:v>260</c:v>
                </c:pt>
                <c:pt idx="414">
                  <c:v>227</c:v>
                </c:pt>
                <c:pt idx="415">
                  <c:v>163</c:v>
                </c:pt>
                <c:pt idx="416">
                  <c:v>191</c:v>
                </c:pt>
                <c:pt idx="417">
                  <c:v>290</c:v>
                </c:pt>
                <c:pt idx="418">
                  <c:v>285</c:v>
                </c:pt>
                <c:pt idx="419">
                  <c:v>227</c:v>
                </c:pt>
                <c:pt idx="420">
                  <c:v>130</c:v>
                </c:pt>
                <c:pt idx="421">
                  <c:v>199</c:v>
                </c:pt>
                <c:pt idx="422">
                  <c:v>279</c:v>
                </c:pt>
                <c:pt idx="423">
                  <c:v>225</c:v>
                </c:pt>
                <c:pt idx="424">
                  <c:v>163</c:v>
                </c:pt>
                <c:pt idx="425">
                  <c:v>132</c:v>
                </c:pt>
                <c:pt idx="426">
                  <c:v>172</c:v>
                </c:pt>
                <c:pt idx="427">
                  <c:v>287</c:v>
                </c:pt>
                <c:pt idx="428">
                  <c:v>360</c:v>
                </c:pt>
                <c:pt idx="429">
                  <c:v>215</c:v>
                </c:pt>
                <c:pt idx="430">
                  <c:v>208</c:v>
                </c:pt>
                <c:pt idx="431">
                  <c:v>229</c:v>
                </c:pt>
                <c:pt idx="432">
                  <c:v>373</c:v>
                </c:pt>
                <c:pt idx="433">
                  <c:v>235</c:v>
                </c:pt>
                <c:pt idx="434">
                  <c:v>227</c:v>
                </c:pt>
                <c:pt idx="435">
                  <c:v>197</c:v>
                </c:pt>
                <c:pt idx="436">
                  <c:v>283</c:v>
                </c:pt>
                <c:pt idx="437">
                  <c:v>342</c:v>
                </c:pt>
                <c:pt idx="438">
                  <c:v>310</c:v>
                </c:pt>
                <c:pt idx="439">
                  <c:v>239</c:v>
                </c:pt>
                <c:pt idx="440">
                  <c:v>213</c:v>
                </c:pt>
                <c:pt idx="441">
                  <c:v>253</c:v>
                </c:pt>
                <c:pt idx="442">
                  <c:v>373</c:v>
                </c:pt>
                <c:pt idx="443">
                  <c:v>305</c:v>
                </c:pt>
                <c:pt idx="444">
                  <c:v>232</c:v>
                </c:pt>
                <c:pt idx="445">
                  <c:v>214</c:v>
                </c:pt>
                <c:pt idx="446">
                  <c:v>229</c:v>
                </c:pt>
                <c:pt idx="447">
                  <c:v>354</c:v>
                </c:pt>
                <c:pt idx="448">
                  <c:v>299</c:v>
                </c:pt>
                <c:pt idx="449">
                  <c:v>257</c:v>
                </c:pt>
                <c:pt idx="450">
                  <c:v>206</c:v>
                </c:pt>
                <c:pt idx="451">
                  <c:v>329</c:v>
                </c:pt>
                <c:pt idx="452">
                  <c:v>329</c:v>
                </c:pt>
                <c:pt idx="453">
                  <c:v>293</c:v>
                </c:pt>
                <c:pt idx="454">
                  <c:v>231</c:v>
                </c:pt>
                <c:pt idx="455">
                  <c:v>192</c:v>
                </c:pt>
                <c:pt idx="456">
                  <c:v>218</c:v>
                </c:pt>
                <c:pt idx="457">
                  <c:v>312</c:v>
                </c:pt>
                <c:pt idx="458">
                  <c:v>230</c:v>
                </c:pt>
                <c:pt idx="459">
                  <c:v>160</c:v>
                </c:pt>
                <c:pt idx="460">
                  <c:v>234</c:v>
                </c:pt>
                <c:pt idx="461">
                  <c:v>347</c:v>
                </c:pt>
                <c:pt idx="462">
                  <c:v>315</c:v>
                </c:pt>
                <c:pt idx="463">
                  <c:v>222</c:v>
                </c:pt>
                <c:pt idx="464">
                  <c:v>178</c:v>
                </c:pt>
                <c:pt idx="465">
                  <c:v>242</c:v>
                </c:pt>
                <c:pt idx="466">
                  <c:v>342</c:v>
                </c:pt>
                <c:pt idx="467">
                  <c:v>337</c:v>
                </c:pt>
                <c:pt idx="468">
                  <c:v>266</c:v>
                </c:pt>
                <c:pt idx="469">
                  <c:v>187</c:v>
                </c:pt>
                <c:pt idx="470">
                  <c:v>195</c:v>
                </c:pt>
                <c:pt idx="471">
                  <c:v>307</c:v>
                </c:pt>
                <c:pt idx="472">
                  <c:v>293</c:v>
                </c:pt>
                <c:pt idx="473">
                  <c:v>243</c:v>
                </c:pt>
                <c:pt idx="474">
                  <c:v>202</c:v>
                </c:pt>
                <c:pt idx="475">
                  <c:v>222</c:v>
                </c:pt>
                <c:pt idx="476">
                  <c:v>371</c:v>
                </c:pt>
                <c:pt idx="477">
                  <c:v>359</c:v>
                </c:pt>
                <c:pt idx="478">
                  <c:v>353</c:v>
                </c:pt>
                <c:pt idx="479">
                  <c:v>188</c:v>
                </c:pt>
                <c:pt idx="480">
                  <c:v>234</c:v>
                </c:pt>
                <c:pt idx="481">
                  <c:v>476</c:v>
                </c:pt>
                <c:pt idx="482">
                  <c:v>349</c:v>
                </c:pt>
                <c:pt idx="483">
                  <c:v>286</c:v>
                </c:pt>
                <c:pt idx="484">
                  <c:v>367</c:v>
                </c:pt>
                <c:pt idx="485">
                  <c:v>367</c:v>
                </c:pt>
                <c:pt idx="486">
                  <c:v>362</c:v>
                </c:pt>
                <c:pt idx="487">
                  <c:v>263</c:v>
                </c:pt>
                <c:pt idx="488">
                  <c:v>316</c:v>
                </c:pt>
                <c:pt idx="489">
                  <c:v>290</c:v>
                </c:pt>
                <c:pt idx="490">
                  <c:v>357</c:v>
                </c:pt>
                <c:pt idx="491">
                  <c:v>335</c:v>
                </c:pt>
                <c:pt idx="492">
                  <c:v>288</c:v>
                </c:pt>
                <c:pt idx="493">
                  <c:v>347</c:v>
                </c:pt>
                <c:pt idx="494">
                  <c:v>497</c:v>
                </c:pt>
                <c:pt idx="495">
                  <c:v>390</c:v>
                </c:pt>
                <c:pt idx="496">
                  <c:v>272</c:v>
                </c:pt>
                <c:pt idx="497">
                  <c:v>364</c:v>
                </c:pt>
                <c:pt idx="498">
                  <c:v>456</c:v>
                </c:pt>
                <c:pt idx="499">
                  <c:v>396</c:v>
                </c:pt>
                <c:pt idx="500">
                  <c:v>335</c:v>
                </c:pt>
                <c:pt idx="501">
                  <c:v>259</c:v>
                </c:pt>
                <c:pt idx="502">
                  <c:v>304</c:v>
                </c:pt>
                <c:pt idx="503">
                  <c:v>411</c:v>
                </c:pt>
                <c:pt idx="504">
                  <c:v>466</c:v>
                </c:pt>
                <c:pt idx="505">
                  <c:v>376</c:v>
                </c:pt>
                <c:pt idx="506">
                  <c:v>261</c:v>
                </c:pt>
                <c:pt idx="507">
                  <c:v>273</c:v>
                </c:pt>
                <c:pt idx="508">
                  <c:v>417</c:v>
                </c:pt>
                <c:pt idx="509">
                  <c:v>320</c:v>
                </c:pt>
                <c:pt idx="510">
                  <c:v>284</c:v>
                </c:pt>
                <c:pt idx="511">
                  <c:v>223</c:v>
                </c:pt>
                <c:pt idx="512">
                  <c:v>214</c:v>
                </c:pt>
                <c:pt idx="513">
                  <c:v>312</c:v>
                </c:pt>
                <c:pt idx="514">
                  <c:v>283</c:v>
                </c:pt>
                <c:pt idx="515">
                  <c:v>250</c:v>
                </c:pt>
                <c:pt idx="516">
                  <c:v>298</c:v>
                </c:pt>
                <c:pt idx="517">
                  <c:v>435</c:v>
                </c:pt>
                <c:pt idx="518">
                  <c:v>374</c:v>
                </c:pt>
                <c:pt idx="519">
                  <c:v>316</c:v>
                </c:pt>
                <c:pt idx="520">
                  <c:v>247</c:v>
                </c:pt>
                <c:pt idx="521">
                  <c:v>287</c:v>
                </c:pt>
                <c:pt idx="522">
                  <c:v>313</c:v>
                </c:pt>
                <c:pt idx="523">
                  <c:v>310</c:v>
                </c:pt>
                <c:pt idx="524">
                  <c:v>231</c:v>
                </c:pt>
                <c:pt idx="525">
                  <c:v>316</c:v>
                </c:pt>
                <c:pt idx="526">
                  <c:v>370</c:v>
                </c:pt>
                <c:pt idx="527">
                  <c:v>330</c:v>
                </c:pt>
                <c:pt idx="528">
                  <c:v>279</c:v>
                </c:pt>
                <c:pt idx="529">
                  <c:v>295</c:v>
                </c:pt>
                <c:pt idx="530">
                  <c:v>278</c:v>
                </c:pt>
                <c:pt idx="531">
                  <c:v>418</c:v>
                </c:pt>
                <c:pt idx="532">
                  <c:v>390</c:v>
                </c:pt>
                <c:pt idx="533">
                  <c:v>293</c:v>
                </c:pt>
                <c:pt idx="534">
                  <c:v>300</c:v>
                </c:pt>
                <c:pt idx="535">
                  <c:v>327</c:v>
                </c:pt>
                <c:pt idx="536">
                  <c:v>454</c:v>
                </c:pt>
                <c:pt idx="537">
                  <c:v>406</c:v>
                </c:pt>
                <c:pt idx="538">
                  <c:v>393</c:v>
                </c:pt>
                <c:pt idx="539">
                  <c:v>315</c:v>
                </c:pt>
                <c:pt idx="540">
                  <c:v>331</c:v>
                </c:pt>
                <c:pt idx="541">
                  <c:v>434</c:v>
                </c:pt>
                <c:pt idx="542">
                  <c:v>398</c:v>
                </c:pt>
                <c:pt idx="543">
                  <c:v>266</c:v>
                </c:pt>
                <c:pt idx="544">
                  <c:v>257</c:v>
                </c:pt>
                <c:pt idx="545">
                  <c:v>282</c:v>
                </c:pt>
                <c:pt idx="546">
                  <c:v>427</c:v>
                </c:pt>
                <c:pt idx="547">
                  <c:v>330</c:v>
                </c:pt>
                <c:pt idx="548">
                  <c:v>287</c:v>
                </c:pt>
                <c:pt idx="549">
                  <c:v>284</c:v>
                </c:pt>
                <c:pt idx="550">
                  <c:v>493</c:v>
                </c:pt>
                <c:pt idx="551">
                  <c:v>447</c:v>
                </c:pt>
                <c:pt idx="552">
                  <c:v>331</c:v>
                </c:pt>
                <c:pt idx="553">
                  <c:v>332</c:v>
                </c:pt>
                <c:pt idx="554">
                  <c:v>284</c:v>
                </c:pt>
                <c:pt idx="555">
                  <c:v>403</c:v>
                </c:pt>
                <c:pt idx="556">
                  <c:v>428</c:v>
                </c:pt>
                <c:pt idx="557">
                  <c:v>364</c:v>
                </c:pt>
                <c:pt idx="558">
                  <c:v>260</c:v>
                </c:pt>
                <c:pt idx="559">
                  <c:v>313</c:v>
                </c:pt>
                <c:pt idx="560">
                  <c:v>427</c:v>
                </c:pt>
                <c:pt idx="561">
                  <c:v>414</c:v>
                </c:pt>
                <c:pt idx="562">
                  <c:v>343</c:v>
                </c:pt>
                <c:pt idx="563">
                  <c:v>316</c:v>
                </c:pt>
                <c:pt idx="564">
                  <c:v>277</c:v>
                </c:pt>
                <c:pt idx="565">
                  <c:v>382</c:v>
                </c:pt>
                <c:pt idx="566">
                  <c:v>398</c:v>
                </c:pt>
                <c:pt idx="567">
                  <c:v>291</c:v>
                </c:pt>
                <c:pt idx="568">
                  <c:v>243</c:v>
                </c:pt>
                <c:pt idx="569">
                  <c:v>293</c:v>
                </c:pt>
                <c:pt idx="570">
                  <c:v>505</c:v>
                </c:pt>
                <c:pt idx="571">
                  <c:v>366</c:v>
                </c:pt>
                <c:pt idx="572">
                  <c:v>286</c:v>
                </c:pt>
                <c:pt idx="573">
                  <c:v>388</c:v>
                </c:pt>
                <c:pt idx="574">
                  <c:v>488</c:v>
                </c:pt>
                <c:pt idx="575">
                  <c:v>443</c:v>
                </c:pt>
                <c:pt idx="576">
                  <c:v>285</c:v>
                </c:pt>
                <c:pt idx="577">
                  <c:v>230</c:v>
                </c:pt>
                <c:pt idx="578">
                  <c:v>281</c:v>
                </c:pt>
                <c:pt idx="579">
                  <c:v>390</c:v>
                </c:pt>
                <c:pt idx="580">
                  <c:v>407</c:v>
                </c:pt>
                <c:pt idx="581">
                  <c:v>288</c:v>
                </c:pt>
                <c:pt idx="582">
                  <c:v>353</c:v>
                </c:pt>
                <c:pt idx="583">
                  <c:v>251</c:v>
                </c:pt>
                <c:pt idx="584">
                  <c:v>207</c:v>
                </c:pt>
                <c:pt idx="585">
                  <c:v>202</c:v>
                </c:pt>
                <c:pt idx="586">
                  <c:v>322</c:v>
                </c:pt>
                <c:pt idx="587">
                  <c:v>339</c:v>
                </c:pt>
                <c:pt idx="588">
                  <c:v>271</c:v>
                </c:pt>
                <c:pt idx="589">
                  <c:v>168</c:v>
                </c:pt>
                <c:pt idx="590">
                  <c:v>220</c:v>
                </c:pt>
                <c:pt idx="591">
                  <c:v>305</c:v>
                </c:pt>
                <c:pt idx="592">
                  <c:v>259</c:v>
                </c:pt>
                <c:pt idx="593">
                  <c:v>215</c:v>
                </c:pt>
                <c:pt idx="594">
                  <c:v>136</c:v>
                </c:pt>
                <c:pt idx="595">
                  <c:v>187</c:v>
                </c:pt>
                <c:pt idx="596">
                  <c:v>276</c:v>
                </c:pt>
                <c:pt idx="597">
                  <c:v>281</c:v>
                </c:pt>
                <c:pt idx="598">
                  <c:v>226</c:v>
                </c:pt>
                <c:pt idx="599">
                  <c:v>181</c:v>
                </c:pt>
                <c:pt idx="600">
                  <c:v>160</c:v>
                </c:pt>
                <c:pt idx="601">
                  <c:v>218</c:v>
                </c:pt>
                <c:pt idx="602">
                  <c:v>226</c:v>
                </c:pt>
                <c:pt idx="603">
                  <c:v>210</c:v>
                </c:pt>
                <c:pt idx="604">
                  <c:v>143</c:v>
                </c:pt>
                <c:pt idx="605">
                  <c:v>163</c:v>
                </c:pt>
                <c:pt idx="606">
                  <c:v>196</c:v>
                </c:pt>
                <c:pt idx="607">
                  <c:v>205</c:v>
                </c:pt>
                <c:pt idx="608">
                  <c:v>167</c:v>
                </c:pt>
                <c:pt idx="609">
                  <c:v>124</c:v>
                </c:pt>
                <c:pt idx="610">
                  <c:v>309</c:v>
                </c:pt>
                <c:pt idx="611">
                  <c:v>213</c:v>
                </c:pt>
                <c:pt idx="612">
                  <c:v>174</c:v>
                </c:pt>
                <c:pt idx="613">
                  <c:v>155</c:v>
                </c:pt>
                <c:pt idx="614">
                  <c:v>174</c:v>
                </c:pt>
                <c:pt idx="615">
                  <c:v>263</c:v>
                </c:pt>
                <c:pt idx="616">
                  <c:v>207</c:v>
                </c:pt>
                <c:pt idx="617">
                  <c:v>149</c:v>
                </c:pt>
                <c:pt idx="618">
                  <c:v>134</c:v>
                </c:pt>
                <c:pt idx="619">
                  <c:v>142</c:v>
                </c:pt>
                <c:pt idx="620">
                  <c:v>272</c:v>
                </c:pt>
                <c:pt idx="621">
                  <c:v>167</c:v>
                </c:pt>
                <c:pt idx="622">
                  <c:v>146</c:v>
                </c:pt>
                <c:pt idx="623">
                  <c:v>177</c:v>
                </c:pt>
                <c:pt idx="624">
                  <c:v>238</c:v>
                </c:pt>
                <c:pt idx="625">
                  <c:v>255</c:v>
                </c:pt>
                <c:pt idx="626">
                  <c:v>208</c:v>
                </c:pt>
                <c:pt idx="627">
                  <c:v>187</c:v>
                </c:pt>
                <c:pt idx="628">
                  <c:v>189</c:v>
                </c:pt>
                <c:pt idx="629">
                  <c:v>292</c:v>
                </c:pt>
                <c:pt idx="630">
                  <c:v>287</c:v>
                </c:pt>
                <c:pt idx="631">
                  <c:v>210</c:v>
                </c:pt>
                <c:pt idx="632">
                  <c:v>168</c:v>
                </c:pt>
                <c:pt idx="633">
                  <c:v>207</c:v>
                </c:pt>
                <c:pt idx="634">
                  <c:v>408</c:v>
                </c:pt>
                <c:pt idx="635">
                  <c:v>276</c:v>
                </c:pt>
                <c:pt idx="636">
                  <c:v>246</c:v>
                </c:pt>
                <c:pt idx="637">
                  <c:v>240</c:v>
                </c:pt>
                <c:pt idx="638">
                  <c:v>343</c:v>
                </c:pt>
                <c:pt idx="639">
                  <c:v>351</c:v>
                </c:pt>
                <c:pt idx="640">
                  <c:v>307</c:v>
                </c:pt>
                <c:pt idx="641">
                  <c:v>272</c:v>
                </c:pt>
                <c:pt idx="642">
                  <c:v>277</c:v>
                </c:pt>
                <c:pt idx="643">
                  <c:v>288</c:v>
                </c:pt>
                <c:pt idx="644">
                  <c:v>392</c:v>
                </c:pt>
                <c:pt idx="645">
                  <c:v>304</c:v>
                </c:pt>
                <c:pt idx="646">
                  <c:v>250</c:v>
                </c:pt>
                <c:pt idx="647">
                  <c:v>261</c:v>
                </c:pt>
                <c:pt idx="648">
                  <c:v>375</c:v>
                </c:pt>
                <c:pt idx="649">
                  <c:v>332</c:v>
                </c:pt>
                <c:pt idx="650">
                  <c:v>267</c:v>
                </c:pt>
                <c:pt idx="651">
                  <c:v>245</c:v>
                </c:pt>
                <c:pt idx="652">
                  <c:v>237</c:v>
                </c:pt>
                <c:pt idx="653">
                  <c:v>293</c:v>
                </c:pt>
                <c:pt idx="654">
                  <c:v>310</c:v>
                </c:pt>
                <c:pt idx="655">
                  <c:v>256</c:v>
                </c:pt>
                <c:pt idx="656">
                  <c:v>202</c:v>
                </c:pt>
                <c:pt idx="657">
                  <c:v>213</c:v>
                </c:pt>
                <c:pt idx="658">
                  <c:v>266</c:v>
                </c:pt>
                <c:pt idx="659">
                  <c:v>320</c:v>
                </c:pt>
                <c:pt idx="660">
                  <c:v>229</c:v>
                </c:pt>
                <c:pt idx="661">
                  <c:v>234</c:v>
                </c:pt>
                <c:pt idx="662">
                  <c:v>248</c:v>
                </c:pt>
                <c:pt idx="663">
                  <c:v>272</c:v>
                </c:pt>
                <c:pt idx="664">
                  <c:v>370</c:v>
                </c:pt>
                <c:pt idx="665">
                  <c:v>283</c:v>
                </c:pt>
                <c:pt idx="666">
                  <c:v>187</c:v>
                </c:pt>
                <c:pt idx="667">
                  <c:v>265</c:v>
                </c:pt>
                <c:pt idx="668">
                  <c:v>329</c:v>
                </c:pt>
                <c:pt idx="669">
                  <c:v>284</c:v>
                </c:pt>
                <c:pt idx="670">
                  <c:v>260</c:v>
                </c:pt>
                <c:pt idx="671">
                  <c:v>259</c:v>
                </c:pt>
                <c:pt idx="672">
                  <c:v>284</c:v>
                </c:pt>
                <c:pt idx="673">
                  <c:v>304</c:v>
                </c:pt>
                <c:pt idx="674">
                  <c:v>359</c:v>
                </c:pt>
                <c:pt idx="675">
                  <c:v>267</c:v>
                </c:pt>
                <c:pt idx="676">
                  <c:v>223</c:v>
                </c:pt>
                <c:pt idx="677">
                  <c:v>235</c:v>
                </c:pt>
                <c:pt idx="678">
                  <c:v>352</c:v>
                </c:pt>
                <c:pt idx="679">
                  <c:v>331</c:v>
                </c:pt>
                <c:pt idx="680">
                  <c:v>246</c:v>
                </c:pt>
                <c:pt idx="681">
                  <c:v>221</c:v>
                </c:pt>
                <c:pt idx="682">
                  <c:v>279</c:v>
                </c:pt>
                <c:pt idx="683">
                  <c:v>306</c:v>
                </c:pt>
                <c:pt idx="684">
                  <c:v>308</c:v>
                </c:pt>
                <c:pt idx="685">
                  <c:v>286</c:v>
                </c:pt>
                <c:pt idx="686">
                  <c:v>181</c:v>
                </c:pt>
                <c:pt idx="687">
                  <c:v>249</c:v>
                </c:pt>
                <c:pt idx="688">
                  <c:v>340</c:v>
                </c:pt>
                <c:pt idx="689">
                  <c:v>291</c:v>
                </c:pt>
                <c:pt idx="690">
                  <c:v>259</c:v>
                </c:pt>
                <c:pt idx="691">
                  <c:v>335</c:v>
                </c:pt>
                <c:pt idx="692">
                  <c:v>307</c:v>
                </c:pt>
                <c:pt idx="693">
                  <c:v>200</c:v>
                </c:pt>
                <c:pt idx="694">
                  <c:v>248</c:v>
                </c:pt>
                <c:pt idx="695">
                  <c:v>323</c:v>
                </c:pt>
                <c:pt idx="696">
                  <c:v>386</c:v>
                </c:pt>
                <c:pt idx="697">
                  <c:v>232</c:v>
                </c:pt>
                <c:pt idx="698">
                  <c:v>213</c:v>
                </c:pt>
                <c:pt idx="699">
                  <c:v>209</c:v>
                </c:pt>
                <c:pt idx="700">
                  <c:v>361</c:v>
                </c:pt>
                <c:pt idx="701">
                  <c:v>290</c:v>
                </c:pt>
                <c:pt idx="702">
                  <c:v>223</c:v>
                </c:pt>
                <c:pt idx="703">
                  <c:v>244</c:v>
                </c:pt>
                <c:pt idx="704">
                  <c:v>317</c:v>
                </c:pt>
                <c:pt idx="705">
                  <c:v>353</c:v>
                </c:pt>
                <c:pt idx="706">
                  <c:v>317</c:v>
                </c:pt>
                <c:pt idx="707">
                  <c:v>200</c:v>
                </c:pt>
                <c:pt idx="708">
                  <c:v>196</c:v>
                </c:pt>
                <c:pt idx="709">
                  <c:v>342</c:v>
                </c:pt>
                <c:pt idx="710">
                  <c:v>298</c:v>
                </c:pt>
                <c:pt idx="711">
                  <c:v>231</c:v>
                </c:pt>
                <c:pt idx="712">
                  <c:v>158</c:v>
                </c:pt>
                <c:pt idx="713">
                  <c:v>196</c:v>
                </c:pt>
                <c:pt idx="714">
                  <c:v>303</c:v>
                </c:pt>
                <c:pt idx="715">
                  <c:v>180</c:v>
                </c:pt>
                <c:pt idx="716">
                  <c:v>175</c:v>
                </c:pt>
                <c:pt idx="717">
                  <c:v>181</c:v>
                </c:pt>
                <c:pt idx="718">
                  <c:v>227</c:v>
                </c:pt>
                <c:pt idx="719">
                  <c:v>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8-4041-A73F-DFB86858E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434223"/>
        <c:axId val="99427023"/>
      </c:lineChart>
      <c:dateAx>
        <c:axId val="9943422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7023"/>
        <c:crosses val="autoZero"/>
        <c:auto val="1"/>
        <c:lblOffset val="100"/>
        <c:baseTimeUnit val="days"/>
      </c:dateAx>
      <c:valAx>
        <c:axId val="994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327061</xdr:colOff>
      <xdr:row>1</xdr:row>
      <xdr:rowOff>44833</xdr:rowOff>
    </xdr:from>
    <xdr:to>
      <xdr:col>25</xdr:col>
      <xdr:colOff>197982</xdr:colOff>
      <xdr:row>30</xdr:row>
      <xdr:rowOff>60173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B5A6B-E2E3-3A48-F3D9-0540D1132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160020</xdr:rowOff>
    </xdr:from>
    <xdr:to>
      <xdr:col>13</xdr:col>
      <xdr:colOff>297180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FB8D6-B556-4FC6-88F9-946DB0FF8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5378-19AA-46E2-AC19-F0F5DC9DD3B2}">
  <dimension ref="A1:K721"/>
  <sheetViews>
    <sheetView zoomScale="52" workbookViewId="0">
      <selection activeCell="G7" activeCellId="2" sqref="A1:A1048576 E1:E1048576 G1:G1048576"/>
    </sheetView>
  </sheetViews>
  <sheetFormatPr defaultRowHeight="14.4" x14ac:dyDescent="0.3"/>
  <cols>
    <col min="1" max="1" width="17.77734375" customWidth="1"/>
    <col min="2" max="2" width="8.88671875" style="2"/>
    <col min="3" max="3" width="43.6640625" customWidth="1"/>
    <col min="4" max="4" width="20.44140625" customWidth="1"/>
    <col min="5" max="5" width="33.6640625" customWidth="1"/>
    <col min="6" max="6" width="18.5546875" customWidth="1"/>
    <col min="7" max="7" width="29.77734375" customWidth="1"/>
    <col min="8" max="8" width="19.5546875" customWidth="1"/>
    <col min="9" max="9" width="19.88671875" customWidth="1"/>
    <col min="10" max="10" width="18" customWidth="1"/>
    <col min="11" max="11" width="17" customWidth="1"/>
  </cols>
  <sheetData>
    <row r="1" spans="1:11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3">
        <v>46012</v>
      </c>
      <c r="B2" s="2" t="str">
        <f>TEXT(A2,"mmm-yyyy")</f>
        <v>Dec-2025</v>
      </c>
      <c r="C2">
        <v>6</v>
      </c>
      <c r="D2">
        <v>18</v>
      </c>
      <c r="E2">
        <v>11</v>
      </c>
      <c r="F2" s="1">
        <v>2484</v>
      </c>
      <c r="G2">
        <v>14</v>
      </c>
      <c r="H2">
        <f>E2/D2</f>
        <v>0.61111111111111116</v>
      </c>
      <c r="I2">
        <f>G2/F2</f>
        <v>5.6360708534621577E-3</v>
      </c>
      <c r="J2">
        <f>C2-G2</f>
        <v>-8</v>
      </c>
      <c r="K2" t="str">
        <f>TEXT(A2,"mmm-yyyy")</f>
        <v>Dec-2025</v>
      </c>
    </row>
    <row r="3" spans="1:11" x14ac:dyDescent="0.3">
      <c r="A3" s="3">
        <v>46013</v>
      </c>
      <c r="B3" s="2" t="str">
        <f t="shared" ref="B3:B66" si="0">TEXT(A3,"mmm-yyyy")</f>
        <v>Dec-2025</v>
      </c>
      <c r="C3">
        <v>11</v>
      </c>
      <c r="D3">
        <v>50</v>
      </c>
      <c r="E3">
        <v>6</v>
      </c>
      <c r="F3" s="1">
        <v>2472</v>
      </c>
      <c r="G3">
        <v>16</v>
      </c>
      <c r="H3">
        <f t="shared" ref="H3:H66" si="1">E3/D3</f>
        <v>0.12</v>
      </c>
      <c r="I3">
        <f t="shared" ref="I3:I66" si="2">G3/F3</f>
        <v>6.4724919093851136E-3</v>
      </c>
      <c r="J3">
        <f t="shared" ref="J3:J66" si="3">C3-G3</f>
        <v>-5</v>
      </c>
      <c r="K3" t="str">
        <f t="shared" ref="K3:K66" si="4">TEXT(A3,"mmm-yyyy")</f>
        <v>Dec-2025</v>
      </c>
    </row>
    <row r="4" spans="1:11" x14ac:dyDescent="0.3">
      <c r="A4" s="3">
        <v>46014</v>
      </c>
      <c r="B4" s="2" t="str">
        <f t="shared" si="0"/>
        <v>Dec-2025</v>
      </c>
      <c r="C4">
        <v>7</v>
      </c>
      <c r="D4">
        <v>31</v>
      </c>
      <c r="E4">
        <v>11</v>
      </c>
      <c r="F4" s="1">
        <v>2481</v>
      </c>
      <c r="G4">
        <v>10</v>
      </c>
      <c r="H4">
        <f t="shared" si="1"/>
        <v>0.35483870967741937</v>
      </c>
      <c r="I4">
        <f t="shared" si="2"/>
        <v>4.0306328093510681E-3</v>
      </c>
      <c r="J4">
        <f t="shared" si="3"/>
        <v>-3</v>
      </c>
      <c r="K4" t="str">
        <f t="shared" si="4"/>
        <v>Dec-2025</v>
      </c>
    </row>
    <row r="5" spans="1:11" x14ac:dyDescent="0.3">
      <c r="A5" s="3">
        <v>46015</v>
      </c>
      <c r="B5" s="2" t="str">
        <f t="shared" si="0"/>
        <v>Dec-2025</v>
      </c>
      <c r="C5">
        <v>8</v>
      </c>
      <c r="D5">
        <v>54</v>
      </c>
      <c r="E5">
        <v>15</v>
      </c>
      <c r="F5" s="1">
        <v>2468</v>
      </c>
      <c r="G5">
        <v>9</v>
      </c>
      <c r="H5">
        <f t="shared" si="1"/>
        <v>0.27777777777777779</v>
      </c>
      <c r="I5">
        <f t="shared" si="2"/>
        <v>3.6466774716369531E-3</v>
      </c>
      <c r="J5">
        <f t="shared" si="3"/>
        <v>-1</v>
      </c>
      <c r="K5" t="str">
        <f t="shared" si="4"/>
        <v>Dec-2025</v>
      </c>
    </row>
    <row r="6" spans="1:11" x14ac:dyDescent="0.3">
      <c r="A6" s="3">
        <v>46016</v>
      </c>
      <c r="B6" s="2" t="str">
        <f t="shared" si="0"/>
        <v>Dec-2025</v>
      </c>
      <c r="C6">
        <v>11</v>
      </c>
      <c r="D6">
        <v>42</v>
      </c>
      <c r="E6">
        <v>9</v>
      </c>
      <c r="F6" s="1">
        <v>2470</v>
      </c>
      <c r="G6">
        <v>7</v>
      </c>
      <c r="H6">
        <f t="shared" si="1"/>
        <v>0.21428571428571427</v>
      </c>
      <c r="I6">
        <f t="shared" si="2"/>
        <v>2.8340080971659921E-3</v>
      </c>
      <c r="J6">
        <f t="shared" si="3"/>
        <v>4</v>
      </c>
      <c r="K6" t="str">
        <f t="shared" si="4"/>
        <v>Dec-2025</v>
      </c>
    </row>
    <row r="7" spans="1:11" x14ac:dyDescent="0.3">
      <c r="A7" s="3">
        <v>46017</v>
      </c>
      <c r="B7" s="2" t="str">
        <f t="shared" si="0"/>
        <v>Dec-2025</v>
      </c>
      <c r="C7">
        <v>8</v>
      </c>
      <c r="D7">
        <v>35</v>
      </c>
      <c r="E7">
        <v>4</v>
      </c>
      <c r="F7" s="1">
        <v>2462</v>
      </c>
      <c r="G7">
        <v>8</v>
      </c>
      <c r="H7">
        <f t="shared" si="1"/>
        <v>0.11428571428571428</v>
      </c>
      <c r="I7">
        <f t="shared" si="2"/>
        <v>3.249390739236393E-3</v>
      </c>
      <c r="J7">
        <f t="shared" si="3"/>
        <v>0</v>
      </c>
      <c r="K7" t="str">
        <f t="shared" si="4"/>
        <v>Dec-2025</v>
      </c>
    </row>
    <row r="8" spans="1:11" x14ac:dyDescent="0.3">
      <c r="A8" s="3">
        <v>46018</v>
      </c>
      <c r="B8" s="2" t="str">
        <f t="shared" si="0"/>
        <v>Dec-2025</v>
      </c>
      <c r="C8">
        <v>7</v>
      </c>
      <c r="D8">
        <v>47</v>
      </c>
      <c r="E8">
        <v>9</v>
      </c>
      <c r="F8" s="1">
        <v>2437</v>
      </c>
      <c r="G8">
        <v>10</v>
      </c>
      <c r="H8">
        <f t="shared" si="1"/>
        <v>0.19148936170212766</v>
      </c>
      <c r="I8">
        <f t="shared" si="2"/>
        <v>4.103405826836274E-3</v>
      </c>
      <c r="J8">
        <f t="shared" si="3"/>
        <v>-3</v>
      </c>
      <c r="K8" t="str">
        <f t="shared" si="4"/>
        <v>Dec-2025</v>
      </c>
    </row>
    <row r="9" spans="1:11" x14ac:dyDescent="0.3">
      <c r="A9" s="3">
        <v>46019</v>
      </c>
      <c r="B9" s="2" t="str">
        <f t="shared" si="0"/>
        <v>Dec-2025</v>
      </c>
      <c r="C9">
        <v>10</v>
      </c>
      <c r="D9">
        <v>54</v>
      </c>
      <c r="E9">
        <v>5</v>
      </c>
      <c r="F9" s="1">
        <v>2439</v>
      </c>
      <c r="G9">
        <v>9</v>
      </c>
      <c r="H9">
        <f t="shared" si="1"/>
        <v>9.2592592592592587E-2</v>
      </c>
      <c r="I9">
        <f t="shared" si="2"/>
        <v>3.6900369003690036E-3</v>
      </c>
      <c r="J9">
        <f t="shared" si="3"/>
        <v>1</v>
      </c>
      <c r="K9" t="str">
        <f t="shared" si="4"/>
        <v>Dec-2025</v>
      </c>
    </row>
    <row r="10" spans="1:11" x14ac:dyDescent="0.3">
      <c r="A10" s="3">
        <v>46020</v>
      </c>
      <c r="B10" s="2" t="str">
        <f t="shared" si="0"/>
        <v>Dec-2025</v>
      </c>
      <c r="C10">
        <v>4</v>
      </c>
      <c r="D10">
        <v>30</v>
      </c>
      <c r="E10">
        <v>7</v>
      </c>
      <c r="F10" s="1">
        <v>2443</v>
      </c>
      <c r="G10">
        <v>8</v>
      </c>
      <c r="H10">
        <f t="shared" si="1"/>
        <v>0.23333333333333334</v>
      </c>
      <c r="I10">
        <f t="shared" si="2"/>
        <v>3.274662300450266E-3</v>
      </c>
      <c r="J10">
        <f t="shared" si="3"/>
        <v>-4</v>
      </c>
      <c r="K10" t="str">
        <f t="shared" si="4"/>
        <v>Dec-2025</v>
      </c>
    </row>
    <row r="11" spans="1:11" x14ac:dyDescent="0.3">
      <c r="A11" s="3">
        <v>46021</v>
      </c>
      <c r="B11" s="2" t="str">
        <f t="shared" si="0"/>
        <v>Dec-2025</v>
      </c>
      <c r="C11">
        <v>9</v>
      </c>
      <c r="D11">
        <v>27</v>
      </c>
      <c r="E11">
        <v>9</v>
      </c>
      <c r="F11" s="1">
        <v>2440</v>
      </c>
      <c r="G11">
        <v>4</v>
      </c>
      <c r="H11">
        <f t="shared" si="1"/>
        <v>0.33333333333333331</v>
      </c>
      <c r="I11">
        <f t="shared" si="2"/>
        <v>1.639344262295082E-3</v>
      </c>
      <c r="J11">
        <f t="shared" si="3"/>
        <v>5</v>
      </c>
      <c r="K11" t="str">
        <f t="shared" si="4"/>
        <v>Dec-2025</v>
      </c>
    </row>
    <row r="12" spans="1:11" x14ac:dyDescent="0.3">
      <c r="A12" s="3">
        <v>46022</v>
      </c>
      <c r="B12" s="2" t="str">
        <f t="shared" si="0"/>
        <v>Dec-2025</v>
      </c>
      <c r="C12">
        <v>4</v>
      </c>
      <c r="D12">
        <v>24</v>
      </c>
      <c r="E12">
        <v>13</v>
      </c>
      <c r="F12" s="1">
        <v>2429</v>
      </c>
      <c r="G12">
        <v>12</v>
      </c>
      <c r="H12">
        <f t="shared" si="1"/>
        <v>0.54166666666666663</v>
      </c>
      <c r="I12">
        <f t="shared" si="2"/>
        <v>4.9403046521202141E-3</v>
      </c>
      <c r="J12">
        <f t="shared" si="3"/>
        <v>-8</v>
      </c>
      <c r="K12" t="str">
        <f t="shared" si="4"/>
        <v>Dec-2025</v>
      </c>
    </row>
    <row r="13" spans="1:11" x14ac:dyDescent="0.3">
      <c r="A13" s="3">
        <v>46023</v>
      </c>
      <c r="B13" s="2" t="str">
        <f t="shared" si="0"/>
        <v>Jan-2026</v>
      </c>
      <c r="C13">
        <v>16</v>
      </c>
      <c r="D13">
        <v>39</v>
      </c>
      <c r="E13">
        <v>7</v>
      </c>
      <c r="F13" s="1">
        <v>2418</v>
      </c>
      <c r="G13">
        <v>13</v>
      </c>
      <c r="H13">
        <f t="shared" si="1"/>
        <v>0.17948717948717949</v>
      </c>
      <c r="I13">
        <f t="shared" si="2"/>
        <v>5.3763440860215058E-3</v>
      </c>
      <c r="J13">
        <f t="shared" si="3"/>
        <v>3</v>
      </c>
      <c r="K13" t="str">
        <f t="shared" si="4"/>
        <v>Jan-2026</v>
      </c>
    </row>
    <row r="14" spans="1:11" x14ac:dyDescent="0.3">
      <c r="A14" s="3">
        <v>46024</v>
      </c>
      <c r="B14" s="2" t="str">
        <f t="shared" si="0"/>
        <v>Jan-2026</v>
      </c>
      <c r="C14">
        <v>4</v>
      </c>
      <c r="D14">
        <v>32</v>
      </c>
      <c r="E14">
        <v>8</v>
      </c>
      <c r="F14" s="1">
        <v>2419</v>
      </c>
      <c r="G14">
        <v>7</v>
      </c>
      <c r="H14">
        <f t="shared" si="1"/>
        <v>0.25</v>
      </c>
      <c r="I14">
        <f t="shared" si="2"/>
        <v>2.8937577511368336E-3</v>
      </c>
      <c r="J14">
        <f t="shared" si="3"/>
        <v>-3</v>
      </c>
      <c r="K14" t="str">
        <f t="shared" si="4"/>
        <v>Jan-2026</v>
      </c>
    </row>
    <row r="15" spans="1:11" x14ac:dyDescent="0.3">
      <c r="A15" s="3">
        <v>46025</v>
      </c>
      <c r="B15" s="2" t="str">
        <f t="shared" si="0"/>
        <v>Jan-2026</v>
      </c>
      <c r="C15">
        <v>7</v>
      </c>
      <c r="D15">
        <v>34</v>
      </c>
      <c r="E15">
        <v>6</v>
      </c>
      <c r="F15" s="1">
        <v>2407</v>
      </c>
      <c r="G15">
        <v>8</v>
      </c>
      <c r="H15">
        <f t="shared" si="1"/>
        <v>0.17647058823529413</v>
      </c>
      <c r="I15">
        <f t="shared" si="2"/>
        <v>3.3236393851267137E-3</v>
      </c>
      <c r="J15">
        <f t="shared" si="3"/>
        <v>-1</v>
      </c>
      <c r="K15" t="str">
        <f t="shared" si="4"/>
        <v>Jan-2026</v>
      </c>
    </row>
    <row r="16" spans="1:11" x14ac:dyDescent="0.3">
      <c r="A16" s="3">
        <v>46026</v>
      </c>
      <c r="B16" s="2" t="str">
        <f t="shared" si="0"/>
        <v>Jan-2026</v>
      </c>
      <c r="C16">
        <v>4</v>
      </c>
      <c r="D16">
        <v>26</v>
      </c>
      <c r="E16">
        <v>4</v>
      </c>
      <c r="F16" s="1">
        <v>2410</v>
      </c>
      <c r="G16">
        <v>9</v>
      </c>
      <c r="H16">
        <f t="shared" si="1"/>
        <v>0.15384615384615385</v>
      </c>
      <c r="I16">
        <f t="shared" si="2"/>
        <v>3.7344398340248964E-3</v>
      </c>
      <c r="J16">
        <f t="shared" si="3"/>
        <v>-5</v>
      </c>
      <c r="K16" t="str">
        <f t="shared" si="4"/>
        <v>Jan-2026</v>
      </c>
    </row>
    <row r="17" spans="1:11" x14ac:dyDescent="0.3">
      <c r="A17" s="3">
        <v>46027</v>
      </c>
      <c r="B17" s="2" t="str">
        <f t="shared" si="0"/>
        <v>Jan-2026</v>
      </c>
      <c r="C17">
        <v>4</v>
      </c>
      <c r="D17">
        <v>18</v>
      </c>
      <c r="E17">
        <v>10</v>
      </c>
      <c r="F17" s="1">
        <v>2415</v>
      </c>
      <c r="G17">
        <v>0</v>
      </c>
      <c r="H17">
        <f t="shared" si="1"/>
        <v>0.55555555555555558</v>
      </c>
      <c r="I17">
        <f t="shared" si="2"/>
        <v>0</v>
      </c>
      <c r="J17">
        <f t="shared" si="3"/>
        <v>4</v>
      </c>
      <c r="K17" t="str">
        <f t="shared" si="4"/>
        <v>Jan-2026</v>
      </c>
    </row>
    <row r="18" spans="1:11" x14ac:dyDescent="0.3">
      <c r="A18" s="3">
        <v>46028</v>
      </c>
      <c r="B18" s="2" t="str">
        <f t="shared" si="0"/>
        <v>Jan-2026</v>
      </c>
      <c r="C18">
        <v>4</v>
      </c>
      <c r="D18">
        <v>24</v>
      </c>
      <c r="E18">
        <v>8</v>
      </c>
      <c r="F18" s="1">
        <v>2389</v>
      </c>
      <c r="G18">
        <v>7</v>
      </c>
      <c r="H18">
        <f t="shared" si="1"/>
        <v>0.33333333333333331</v>
      </c>
      <c r="I18">
        <f t="shared" si="2"/>
        <v>2.9300962745918793E-3</v>
      </c>
      <c r="J18">
        <f t="shared" si="3"/>
        <v>-3</v>
      </c>
      <c r="K18" t="str">
        <f t="shared" si="4"/>
        <v>Jan-2026</v>
      </c>
    </row>
    <row r="19" spans="1:11" x14ac:dyDescent="0.3">
      <c r="A19" s="3">
        <v>46029</v>
      </c>
      <c r="B19" s="2" t="str">
        <f t="shared" si="0"/>
        <v>Jan-2026</v>
      </c>
      <c r="C19">
        <v>6</v>
      </c>
      <c r="D19">
        <v>47</v>
      </c>
      <c r="E19">
        <v>14</v>
      </c>
      <c r="F19" s="1">
        <v>2375</v>
      </c>
      <c r="G19">
        <v>11</v>
      </c>
      <c r="H19">
        <f t="shared" si="1"/>
        <v>0.2978723404255319</v>
      </c>
      <c r="I19">
        <f t="shared" si="2"/>
        <v>4.6315789473684215E-3</v>
      </c>
      <c r="J19">
        <f t="shared" si="3"/>
        <v>-5</v>
      </c>
      <c r="K19" t="str">
        <f t="shared" si="4"/>
        <v>Jan-2026</v>
      </c>
    </row>
    <row r="20" spans="1:11" x14ac:dyDescent="0.3">
      <c r="A20" s="3">
        <v>46030</v>
      </c>
      <c r="B20" s="2" t="str">
        <f t="shared" si="0"/>
        <v>Jan-2026</v>
      </c>
      <c r="C20">
        <v>9</v>
      </c>
      <c r="D20">
        <v>40</v>
      </c>
      <c r="E20">
        <v>9</v>
      </c>
      <c r="F20" s="1">
        <v>2371</v>
      </c>
      <c r="G20">
        <v>13</v>
      </c>
      <c r="H20">
        <f t="shared" si="1"/>
        <v>0.22500000000000001</v>
      </c>
      <c r="I20">
        <f t="shared" si="2"/>
        <v>5.482918599746942E-3</v>
      </c>
      <c r="J20">
        <f t="shared" si="3"/>
        <v>-4</v>
      </c>
      <c r="K20" t="str">
        <f t="shared" si="4"/>
        <v>Jan-2026</v>
      </c>
    </row>
    <row r="21" spans="1:11" x14ac:dyDescent="0.3">
      <c r="A21" s="3">
        <v>46031</v>
      </c>
      <c r="B21" s="2" t="str">
        <f t="shared" si="0"/>
        <v>Jan-2026</v>
      </c>
      <c r="C21">
        <v>3</v>
      </c>
      <c r="D21">
        <v>46</v>
      </c>
      <c r="E21">
        <v>22</v>
      </c>
      <c r="F21" s="1">
        <v>2375</v>
      </c>
      <c r="G21">
        <v>1</v>
      </c>
      <c r="H21">
        <f t="shared" si="1"/>
        <v>0.47826086956521741</v>
      </c>
      <c r="I21">
        <f t="shared" si="2"/>
        <v>4.2105263157894739E-4</v>
      </c>
      <c r="J21">
        <f t="shared" si="3"/>
        <v>2</v>
      </c>
      <c r="K21" t="str">
        <f t="shared" si="4"/>
        <v>Jan-2026</v>
      </c>
    </row>
    <row r="22" spans="1:11" x14ac:dyDescent="0.3">
      <c r="A22" s="3">
        <v>46032</v>
      </c>
      <c r="B22" s="2" t="str">
        <f t="shared" si="0"/>
        <v>Jan-2026</v>
      </c>
      <c r="C22">
        <v>18</v>
      </c>
      <c r="D22">
        <v>57</v>
      </c>
      <c r="E22">
        <v>8</v>
      </c>
      <c r="F22" s="1">
        <v>2340</v>
      </c>
      <c r="G22">
        <v>9</v>
      </c>
      <c r="H22">
        <f t="shared" si="1"/>
        <v>0.14035087719298245</v>
      </c>
      <c r="I22">
        <f t="shared" si="2"/>
        <v>3.8461538461538464E-3</v>
      </c>
      <c r="J22">
        <f t="shared" si="3"/>
        <v>9</v>
      </c>
      <c r="K22" t="str">
        <f t="shared" si="4"/>
        <v>Jan-2026</v>
      </c>
    </row>
    <row r="23" spans="1:11" x14ac:dyDescent="0.3">
      <c r="A23" s="3">
        <v>46033</v>
      </c>
      <c r="B23" s="2" t="str">
        <f t="shared" si="0"/>
        <v>Jan-2026</v>
      </c>
      <c r="C23">
        <v>7</v>
      </c>
      <c r="D23">
        <v>32</v>
      </c>
      <c r="E23">
        <v>3</v>
      </c>
      <c r="F23" s="1">
        <v>2340</v>
      </c>
      <c r="G23">
        <v>10</v>
      </c>
      <c r="H23">
        <f t="shared" si="1"/>
        <v>9.375E-2</v>
      </c>
      <c r="I23">
        <f t="shared" si="2"/>
        <v>4.2735042735042739E-3</v>
      </c>
      <c r="J23">
        <f t="shared" si="3"/>
        <v>-3</v>
      </c>
      <c r="K23" t="str">
        <f t="shared" si="4"/>
        <v>Jan-2026</v>
      </c>
    </row>
    <row r="24" spans="1:11" x14ac:dyDescent="0.3">
      <c r="A24" s="3">
        <v>46034</v>
      </c>
      <c r="B24" s="2" t="str">
        <f t="shared" si="0"/>
        <v>Jan-2026</v>
      </c>
      <c r="C24">
        <v>2</v>
      </c>
      <c r="D24">
        <v>38</v>
      </c>
      <c r="E24">
        <v>8</v>
      </c>
      <c r="F24" s="1">
        <v>2345</v>
      </c>
      <c r="G24">
        <v>12</v>
      </c>
      <c r="H24">
        <f t="shared" si="1"/>
        <v>0.21052631578947367</v>
      </c>
      <c r="I24">
        <f t="shared" si="2"/>
        <v>5.1172707889125804E-3</v>
      </c>
      <c r="J24">
        <f t="shared" si="3"/>
        <v>-10</v>
      </c>
      <c r="K24" t="str">
        <f t="shared" si="4"/>
        <v>Jan-2026</v>
      </c>
    </row>
    <row r="25" spans="1:11" x14ac:dyDescent="0.3">
      <c r="A25" s="3">
        <v>46035</v>
      </c>
      <c r="B25" s="2" t="str">
        <f t="shared" si="0"/>
        <v>Jan-2026</v>
      </c>
      <c r="C25">
        <v>1</v>
      </c>
      <c r="D25">
        <v>35</v>
      </c>
      <c r="E25">
        <v>6</v>
      </c>
      <c r="F25" s="1">
        <v>2343</v>
      </c>
      <c r="G25">
        <v>8</v>
      </c>
      <c r="H25">
        <f t="shared" si="1"/>
        <v>0.17142857142857143</v>
      </c>
      <c r="I25">
        <f t="shared" si="2"/>
        <v>3.4144259496372174E-3</v>
      </c>
      <c r="J25">
        <f t="shared" si="3"/>
        <v>-7</v>
      </c>
      <c r="K25" t="str">
        <f t="shared" si="4"/>
        <v>Jan-2026</v>
      </c>
    </row>
    <row r="26" spans="1:11" x14ac:dyDescent="0.3">
      <c r="A26" s="3">
        <v>46036</v>
      </c>
      <c r="B26" s="2" t="str">
        <f t="shared" si="0"/>
        <v>Jan-2026</v>
      </c>
      <c r="C26">
        <v>5</v>
      </c>
      <c r="D26">
        <v>22</v>
      </c>
      <c r="E26">
        <v>3</v>
      </c>
      <c r="F26" s="1">
        <v>2340</v>
      </c>
      <c r="G26">
        <v>5</v>
      </c>
      <c r="H26">
        <f t="shared" si="1"/>
        <v>0.13636363636363635</v>
      </c>
      <c r="I26">
        <f t="shared" si="2"/>
        <v>2.136752136752137E-3</v>
      </c>
      <c r="J26">
        <f t="shared" si="3"/>
        <v>0</v>
      </c>
      <c r="K26" t="str">
        <f t="shared" si="4"/>
        <v>Jan-2026</v>
      </c>
    </row>
    <row r="27" spans="1:11" x14ac:dyDescent="0.3">
      <c r="A27" s="3">
        <v>46037</v>
      </c>
      <c r="B27" s="2" t="str">
        <f t="shared" si="0"/>
        <v>Jan-2026</v>
      </c>
      <c r="C27">
        <v>6</v>
      </c>
      <c r="D27">
        <v>26</v>
      </c>
      <c r="E27">
        <v>16</v>
      </c>
      <c r="F27" s="1">
        <v>2317</v>
      </c>
      <c r="G27">
        <v>5</v>
      </c>
      <c r="H27">
        <f t="shared" si="1"/>
        <v>0.61538461538461542</v>
      </c>
      <c r="I27">
        <f t="shared" si="2"/>
        <v>2.1579628830384117E-3</v>
      </c>
      <c r="J27">
        <f t="shared" si="3"/>
        <v>1</v>
      </c>
      <c r="K27" t="str">
        <f t="shared" si="4"/>
        <v>Jan-2026</v>
      </c>
    </row>
    <row r="28" spans="1:11" x14ac:dyDescent="0.3">
      <c r="A28" s="3">
        <v>46038</v>
      </c>
      <c r="B28" s="2" t="str">
        <f t="shared" si="0"/>
        <v>Jan-2026</v>
      </c>
      <c r="C28">
        <v>14</v>
      </c>
      <c r="D28">
        <v>48</v>
      </c>
      <c r="E28">
        <v>20</v>
      </c>
      <c r="F28" s="1">
        <v>2302</v>
      </c>
      <c r="G28">
        <v>7</v>
      </c>
      <c r="H28">
        <f t="shared" si="1"/>
        <v>0.41666666666666669</v>
      </c>
      <c r="I28">
        <f t="shared" si="2"/>
        <v>3.0408340573414424E-3</v>
      </c>
      <c r="J28">
        <f t="shared" si="3"/>
        <v>7</v>
      </c>
      <c r="K28" t="str">
        <f t="shared" si="4"/>
        <v>Jan-2026</v>
      </c>
    </row>
    <row r="29" spans="1:11" x14ac:dyDescent="0.3">
      <c r="A29" s="3">
        <v>46039</v>
      </c>
      <c r="B29" s="2" t="str">
        <f t="shared" si="0"/>
        <v>Jan-2026</v>
      </c>
      <c r="C29">
        <v>11</v>
      </c>
      <c r="D29">
        <v>39</v>
      </c>
      <c r="E29">
        <v>12</v>
      </c>
      <c r="F29" s="1">
        <v>2294</v>
      </c>
      <c r="G29">
        <v>14</v>
      </c>
      <c r="H29">
        <f t="shared" si="1"/>
        <v>0.30769230769230771</v>
      </c>
      <c r="I29">
        <f t="shared" si="2"/>
        <v>6.1028770706190059E-3</v>
      </c>
      <c r="J29">
        <f t="shared" si="3"/>
        <v>-3</v>
      </c>
      <c r="K29" t="str">
        <f t="shared" si="4"/>
        <v>Jan-2026</v>
      </c>
    </row>
    <row r="30" spans="1:11" x14ac:dyDescent="0.3">
      <c r="A30" s="3">
        <v>46040</v>
      </c>
      <c r="B30" s="2" t="str">
        <f t="shared" si="0"/>
        <v>Jan-2026</v>
      </c>
      <c r="C30">
        <v>11</v>
      </c>
      <c r="D30">
        <v>33</v>
      </c>
      <c r="E30">
        <v>5</v>
      </c>
      <c r="F30" s="1">
        <v>2294</v>
      </c>
      <c r="G30">
        <v>4</v>
      </c>
      <c r="H30">
        <f t="shared" si="1"/>
        <v>0.15151515151515152</v>
      </c>
      <c r="I30">
        <f t="shared" si="2"/>
        <v>1.7436791630340018E-3</v>
      </c>
      <c r="J30">
        <f t="shared" si="3"/>
        <v>7</v>
      </c>
      <c r="K30" t="str">
        <f t="shared" si="4"/>
        <v>Jan-2026</v>
      </c>
    </row>
    <row r="31" spans="1:11" x14ac:dyDescent="0.3">
      <c r="A31" s="3">
        <v>46041</v>
      </c>
      <c r="B31" s="2" t="str">
        <f t="shared" si="0"/>
        <v>Jan-2026</v>
      </c>
      <c r="C31">
        <v>6</v>
      </c>
      <c r="D31">
        <v>33</v>
      </c>
      <c r="E31">
        <v>9</v>
      </c>
      <c r="F31" s="1">
        <v>2264</v>
      </c>
      <c r="G31">
        <v>19</v>
      </c>
      <c r="H31">
        <f t="shared" si="1"/>
        <v>0.27272727272727271</v>
      </c>
      <c r="I31">
        <f t="shared" si="2"/>
        <v>8.3922261484098946E-3</v>
      </c>
      <c r="J31">
        <f t="shared" si="3"/>
        <v>-13</v>
      </c>
      <c r="K31" t="str">
        <f t="shared" si="4"/>
        <v>Jan-2026</v>
      </c>
    </row>
    <row r="32" spans="1:11" x14ac:dyDescent="0.3">
      <c r="A32" s="3">
        <v>46042</v>
      </c>
      <c r="B32" s="2" t="str">
        <f t="shared" si="0"/>
        <v>Jan-2026</v>
      </c>
      <c r="C32">
        <v>8</v>
      </c>
      <c r="D32">
        <v>41</v>
      </c>
      <c r="E32">
        <v>8</v>
      </c>
      <c r="F32" s="1">
        <v>2272</v>
      </c>
      <c r="G32">
        <v>7</v>
      </c>
      <c r="H32">
        <f t="shared" si="1"/>
        <v>0.1951219512195122</v>
      </c>
      <c r="I32">
        <f t="shared" si="2"/>
        <v>3.0809859154929575E-3</v>
      </c>
      <c r="J32">
        <f t="shared" si="3"/>
        <v>1</v>
      </c>
      <c r="K32" t="str">
        <f t="shared" si="4"/>
        <v>Jan-2026</v>
      </c>
    </row>
    <row r="33" spans="1:11" x14ac:dyDescent="0.3">
      <c r="A33" s="3">
        <v>46043</v>
      </c>
      <c r="B33" s="2" t="str">
        <f t="shared" si="0"/>
        <v>Jan-2026</v>
      </c>
      <c r="C33">
        <v>6</v>
      </c>
      <c r="D33">
        <v>33</v>
      </c>
      <c r="E33">
        <v>6</v>
      </c>
      <c r="F33" s="1">
        <v>2270</v>
      </c>
      <c r="G33">
        <v>8</v>
      </c>
      <c r="H33">
        <f t="shared" si="1"/>
        <v>0.18181818181818182</v>
      </c>
      <c r="I33">
        <f t="shared" si="2"/>
        <v>3.524229074889868E-3</v>
      </c>
      <c r="J33">
        <f t="shared" si="3"/>
        <v>-2</v>
      </c>
      <c r="K33" t="str">
        <f t="shared" si="4"/>
        <v>Jan-2026</v>
      </c>
    </row>
    <row r="34" spans="1:11" x14ac:dyDescent="0.3">
      <c r="A34" s="3">
        <v>46044</v>
      </c>
      <c r="B34" s="2" t="str">
        <f t="shared" si="0"/>
        <v>Jan-2026</v>
      </c>
      <c r="C34">
        <v>3</v>
      </c>
      <c r="D34">
        <v>28</v>
      </c>
      <c r="E34">
        <v>5</v>
      </c>
      <c r="F34" s="1">
        <v>2269</v>
      </c>
      <c r="G34">
        <v>12</v>
      </c>
      <c r="H34">
        <f t="shared" si="1"/>
        <v>0.17857142857142858</v>
      </c>
      <c r="I34">
        <f t="shared" si="2"/>
        <v>5.2886734244160421E-3</v>
      </c>
      <c r="J34">
        <f t="shared" si="3"/>
        <v>-9</v>
      </c>
      <c r="K34" t="str">
        <f t="shared" si="4"/>
        <v>Jan-2026</v>
      </c>
    </row>
    <row r="35" spans="1:11" x14ac:dyDescent="0.3">
      <c r="A35" s="3">
        <v>46045</v>
      </c>
      <c r="B35" s="2" t="str">
        <f t="shared" si="0"/>
        <v>Jan-2026</v>
      </c>
      <c r="C35">
        <v>5</v>
      </c>
      <c r="D35">
        <v>21</v>
      </c>
      <c r="E35">
        <v>10</v>
      </c>
      <c r="F35" s="1">
        <v>2277</v>
      </c>
      <c r="G35">
        <v>7</v>
      </c>
      <c r="H35">
        <f t="shared" si="1"/>
        <v>0.47619047619047616</v>
      </c>
      <c r="I35">
        <f t="shared" si="2"/>
        <v>3.0742204655248135E-3</v>
      </c>
      <c r="J35">
        <f t="shared" si="3"/>
        <v>-2</v>
      </c>
      <c r="K35" t="str">
        <f t="shared" si="4"/>
        <v>Jan-2026</v>
      </c>
    </row>
    <row r="36" spans="1:11" x14ac:dyDescent="0.3">
      <c r="A36" s="3">
        <v>46046</v>
      </c>
      <c r="B36" s="2" t="str">
        <f t="shared" si="0"/>
        <v>Jan-2026</v>
      </c>
      <c r="C36">
        <v>3</v>
      </c>
      <c r="D36">
        <v>17</v>
      </c>
      <c r="E36">
        <v>14</v>
      </c>
      <c r="F36" s="1">
        <v>2287</v>
      </c>
      <c r="G36">
        <v>12</v>
      </c>
      <c r="H36">
        <f t="shared" si="1"/>
        <v>0.82352941176470584</v>
      </c>
      <c r="I36">
        <f t="shared" si="2"/>
        <v>5.2470485351989509E-3</v>
      </c>
      <c r="J36">
        <f t="shared" si="3"/>
        <v>-9</v>
      </c>
      <c r="K36" t="str">
        <f t="shared" si="4"/>
        <v>Jan-2026</v>
      </c>
    </row>
    <row r="37" spans="1:11" x14ac:dyDescent="0.3">
      <c r="A37" s="3">
        <v>46047</v>
      </c>
      <c r="B37" s="2" t="str">
        <f t="shared" si="0"/>
        <v>Jan-2026</v>
      </c>
      <c r="C37">
        <v>6</v>
      </c>
      <c r="D37">
        <v>25</v>
      </c>
      <c r="E37">
        <v>4</v>
      </c>
      <c r="F37" s="1">
        <v>2280</v>
      </c>
      <c r="G37">
        <v>17</v>
      </c>
      <c r="H37">
        <f t="shared" si="1"/>
        <v>0.16</v>
      </c>
      <c r="I37">
        <f t="shared" si="2"/>
        <v>7.4561403508771927E-3</v>
      </c>
      <c r="J37">
        <f t="shared" si="3"/>
        <v>-11</v>
      </c>
      <c r="K37" t="str">
        <f t="shared" si="4"/>
        <v>Jan-2026</v>
      </c>
    </row>
    <row r="38" spans="1:11" x14ac:dyDescent="0.3">
      <c r="A38" s="3">
        <v>46048</v>
      </c>
      <c r="B38" s="2" t="str">
        <f t="shared" si="0"/>
        <v>Jan-2026</v>
      </c>
      <c r="C38">
        <v>6</v>
      </c>
      <c r="D38">
        <v>22</v>
      </c>
      <c r="E38">
        <v>11</v>
      </c>
      <c r="F38" s="1">
        <v>2286</v>
      </c>
      <c r="G38">
        <v>6</v>
      </c>
      <c r="H38">
        <f t="shared" si="1"/>
        <v>0.5</v>
      </c>
      <c r="I38">
        <f t="shared" si="2"/>
        <v>2.6246719160104987E-3</v>
      </c>
      <c r="J38">
        <f t="shared" si="3"/>
        <v>0</v>
      </c>
      <c r="K38" t="str">
        <f t="shared" si="4"/>
        <v>Jan-2026</v>
      </c>
    </row>
    <row r="39" spans="1:11" x14ac:dyDescent="0.3">
      <c r="A39" s="3">
        <v>46049</v>
      </c>
      <c r="B39" s="2" t="str">
        <f t="shared" si="0"/>
        <v>Jan-2026</v>
      </c>
      <c r="C39">
        <v>2</v>
      </c>
      <c r="D39">
        <v>31</v>
      </c>
      <c r="E39">
        <v>8</v>
      </c>
      <c r="F39" s="1">
        <v>2282</v>
      </c>
      <c r="G39">
        <v>11</v>
      </c>
      <c r="H39">
        <f t="shared" si="1"/>
        <v>0.25806451612903225</v>
      </c>
      <c r="I39">
        <f t="shared" si="2"/>
        <v>4.8203330411919366E-3</v>
      </c>
      <c r="J39">
        <f t="shared" si="3"/>
        <v>-9</v>
      </c>
      <c r="K39" t="str">
        <f t="shared" si="4"/>
        <v>Jan-2026</v>
      </c>
    </row>
    <row r="40" spans="1:11" x14ac:dyDescent="0.3">
      <c r="A40" s="3">
        <v>46050</v>
      </c>
      <c r="B40" s="2" t="str">
        <f t="shared" si="0"/>
        <v>Jan-2026</v>
      </c>
      <c r="C40">
        <v>4</v>
      </c>
      <c r="D40">
        <v>35</v>
      </c>
      <c r="E40">
        <v>12</v>
      </c>
      <c r="F40" s="1">
        <v>2276</v>
      </c>
      <c r="G40">
        <v>10</v>
      </c>
      <c r="H40">
        <f t="shared" si="1"/>
        <v>0.34285714285714286</v>
      </c>
      <c r="I40">
        <f t="shared" si="2"/>
        <v>4.3936731107205628E-3</v>
      </c>
      <c r="J40">
        <f t="shared" si="3"/>
        <v>-6</v>
      </c>
      <c r="K40" t="str">
        <f t="shared" si="4"/>
        <v>Jan-2026</v>
      </c>
    </row>
    <row r="41" spans="1:11" x14ac:dyDescent="0.3">
      <c r="A41" s="3">
        <v>46051</v>
      </c>
      <c r="B41" s="2" t="str">
        <f t="shared" si="0"/>
        <v>Jan-2026</v>
      </c>
      <c r="C41">
        <v>4</v>
      </c>
      <c r="D41">
        <v>27</v>
      </c>
      <c r="E41">
        <v>26</v>
      </c>
      <c r="F41" s="1">
        <v>2266</v>
      </c>
      <c r="G41">
        <v>18</v>
      </c>
      <c r="H41">
        <f t="shared" si="1"/>
        <v>0.96296296296296291</v>
      </c>
      <c r="I41">
        <f t="shared" si="2"/>
        <v>7.9435127978817292E-3</v>
      </c>
      <c r="J41">
        <f t="shared" si="3"/>
        <v>-14</v>
      </c>
      <c r="K41" t="str">
        <f t="shared" si="4"/>
        <v>Jan-2026</v>
      </c>
    </row>
    <row r="42" spans="1:11" x14ac:dyDescent="0.3">
      <c r="A42" s="3">
        <v>46052</v>
      </c>
      <c r="B42" s="2" t="str">
        <f t="shared" si="0"/>
        <v>Jan-2026</v>
      </c>
      <c r="C42">
        <v>12</v>
      </c>
      <c r="D42">
        <v>42</v>
      </c>
      <c r="E42">
        <v>13</v>
      </c>
      <c r="F42" s="1">
        <v>2261</v>
      </c>
      <c r="G42">
        <v>12</v>
      </c>
      <c r="H42">
        <f t="shared" si="1"/>
        <v>0.30952380952380953</v>
      </c>
      <c r="I42">
        <f t="shared" si="2"/>
        <v>5.307386112339673E-3</v>
      </c>
      <c r="J42">
        <f t="shared" si="3"/>
        <v>0</v>
      </c>
      <c r="K42" t="str">
        <f t="shared" si="4"/>
        <v>Jan-2026</v>
      </c>
    </row>
    <row r="43" spans="1:11" x14ac:dyDescent="0.3">
      <c r="A43" s="3">
        <v>46053</v>
      </c>
      <c r="B43" s="2" t="str">
        <f t="shared" si="0"/>
        <v>Jan-2026</v>
      </c>
      <c r="C43">
        <v>13</v>
      </c>
      <c r="D43">
        <v>39</v>
      </c>
      <c r="E43">
        <v>17</v>
      </c>
      <c r="F43" s="1">
        <v>2251</v>
      </c>
      <c r="G43">
        <v>9</v>
      </c>
      <c r="H43">
        <f t="shared" si="1"/>
        <v>0.4358974358974359</v>
      </c>
      <c r="I43">
        <f t="shared" si="2"/>
        <v>3.9982230119946687E-3</v>
      </c>
      <c r="J43">
        <f t="shared" si="3"/>
        <v>4</v>
      </c>
      <c r="K43" t="str">
        <f t="shared" si="4"/>
        <v>Jan-2026</v>
      </c>
    </row>
    <row r="44" spans="1:11" x14ac:dyDescent="0.3">
      <c r="A44" s="3">
        <v>46054</v>
      </c>
      <c r="B44" s="2" t="str">
        <f t="shared" si="0"/>
        <v>Feb-2026</v>
      </c>
      <c r="C44">
        <v>10</v>
      </c>
      <c r="D44">
        <v>39</v>
      </c>
      <c r="E44">
        <v>6</v>
      </c>
      <c r="F44" s="1">
        <v>2243</v>
      </c>
      <c r="G44">
        <v>7</v>
      </c>
      <c r="H44">
        <f t="shared" si="1"/>
        <v>0.15384615384615385</v>
      </c>
      <c r="I44">
        <f t="shared" si="2"/>
        <v>3.120820329915292E-3</v>
      </c>
      <c r="J44">
        <f t="shared" si="3"/>
        <v>3</v>
      </c>
      <c r="K44" t="str">
        <f t="shared" si="4"/>
        <v>Feb-2026</v>
      </c>
    </row>
    <row r="45" spans="1:11" x14ac:dyDescent="0.3">
      <c r="A45" s="3">
        <v>46055</v>
      </c>
      <c r="B45" s="2" t="str">
        <f t="shared" si="0"/>
        <v>Feb-2026</v>
      </c>
      <c r="C45">
        <v>9</v>
      </c>
      <c r="D45">
        <v>34</v>
      </c>
      <c r="E45">
        <v>17</v>
      </c>
      <c r="F45" s="1">
        <v>2237</v>
      </c>
      <c r="G45">
        <v>7</v>
      </c>
      <c r="H45">
        <f t="shared" si="1"/>
        <v>0.5</v>
      </c>
      <c r="I45">
        <f t="shared" si="2"/>
        <v>3.1291908806437194E-3</v>
      </c>
      <c r="J45">
        <f t="shared" si="3"/>
        <v>2</v>
      </c>
      <c r="K45" t="str">
        <f t="shared" si="4"/>
        <v>Feb-2026</v>
      </c>
    </row>
    <row r="46" spans="1:11" x14ac:dyDescent="0.3">
      <c r="A46" s="3">
        <v>46056</v>
      </c>
      <c r="B46" s="2" t="str">
        <f t="shared" si="0"/>
        <v>Feb-2026</v>
      </c>
      <c r="C46">
        <v>9</v>
      </c>
      <c r="D46">
        <v>33</v>
      </c>
      <c r="E46">
        <v>15</v>
      </c>
      <c r="F46" s="1">
        <v>2233</v>
      </c>
      <c r="G46">
        <v>9</v>
      </c>
      <c r="H46">
        <f t="shared" si="1"/>
        <v>0.45454545454545453</v>
      </c>
      <c r="I46">
        <f t="shared" si="2"/>
        <v>4.0304523063143752E-3</v>
      </c>
      <c r="J46">
        <f t="shared" si="3"/>
        <v>0</v>
      </c>
      <c r="K46" t="str">
        <f t="shared" si="4"/>
        <v>Feb-2026</v>
      </c>
    </row>
    <row r="47" spans="1:11" x14ac:dyDescent="0.3">
      <c r="A47" s="3">
        <v>46057</v>
      </c>
      <c r="B47" s="2" t="str">
        <f t="shared" si="0"/>
        <v>Feb-2026</v>
      </c>
      <c r="C47">
        <v>8</v>
      </c>
      <c r="D47">
        <v>29</v>
      </c>
      <c r="E47">
        <v>10</v>
      </c>
      <c r="F47" s="1">
        <v>2225</v>
      </c>
      <c r="G47">
        <v>15</v>
      </c>
      <c r="H47">
        <f t="shared" si="1"/>
        <v>0.34482758620689657</v>
      </c>
      <c r="I47">
        <f t="shared" si="2"/>
        <v>6.7415730337078653E-3</v>
      </c>
      <c r="J47">
        <f t="shared" si="3"/>
        <v>-7</v>
      </c>
      <c r="K47" t="str">
        <f t="shared" si="4"/>
        <v>Feb-2026</v>
      </c>
    </row>
    <row r="48" spans="1:11" x14ac:dyDescent="0.3">
      <c r="A48" s="3">
        <v>46058</v>
      </c>
      <c r="B48" s="2" t="str">
        <f t="shared" si="0"/>
        <v>Feb-2026</v>
      </c>
      <c r="C48">
        <v>7</v>
      </c>
      <c r="D48">
        <v>30</v>
      </c>
      <c r="E48">
        <v>16</v>
      </c>
      <c r="F48" s="1">
        <v>2235</v>
      </c>
      <c r="G48">
        <v>8</v>
      </c>
      <c r="H48">
        <f t="shared" si="1"/>
        <v>0.53333333333333333</v>
      </c>
      <c r="I48">
        <f t="shared" si="2"/>
        <v>3.5794183445190158E-3</v>
      </c>
      <c r="J48">
        <f t="shared" si="3"/>
        <v>-1</v>
      </c>
      <c r="K48" t="str">
        <f t="shared" si="4"/>
        <v>Feb-2026</v>
      </c>
    </row>
    <row r="49" spans="1:11" x14ac:dyDescent="0.3">
      <c r="A49" s="3">
        <v>46059</v>
      </c>
      <c r="B49" s="2" t="str">
        <f t="shared" si="0"/>
        <v>Feb-2026</v>
      </c>
      <c r="C49">
        <v>8</v>
      </c>
      <c r="D49">
        <v>24</v>
      </c>
      <c r="E49">
        <v>7</v>
      </c>
      <c r="F49" s="1">
        <v>2223</v>
      </c>
      <c r="G49">
        <v>6</v>
      </c>
      <c r="H49">
        <f t="shared" si="1"/>
        <v>0.29166666666666669</v>
      </c>
      <c r="I49">
        <f t="shared" si="2"/>
        <v>2.6990553306342779E-3</v>
      </c>
      <c r="J49">
        <f t="shared" si="3"/>
        <v>2</v>
      </c>
      <c r="K49" t="str">
        <f t="shared" si="4"/>
        <v>Feb-2026</v>
      </c>
    </row>
    <row r="50" spans="1:11" x14ac:dyDescent="0.3">
      <c r="A50" s="3">
        <v>46060</v>
      </c>
      <c r="B50" s="2" t="str">
        <f t="shared" si="0"/>
        <v>Feb-2026</v>
      </c>
      <c r="C50">
        <v>11</v>
      </c>
      <c r="D50">
        <v>55</v>
      </c>
      <c r="E50">
        <v>13</v>
      </c>
      <c r="F50" s="1">
        <v>2192</v>
      </c>
      <c r="G50">
        <v>12</v>
      </c>
      <c r="H50">
        <f t="shared" si="1"/>
        <v>0.23636363636363636</v>
      </c>
      <c r="I50">
        <f t="shared" si="2"/>
        <v>5.4744525547445258E-3</v>
      </c>
      <c r="J50">
        <f t="shared" si="3"/>
        <v>-1</v>
      </c>
      <c r="K50" t="str">
        <f t="shared" si="4"/>
        <v>Feb-2026</v>
      </c>
    </row>
    <row r="51" spans="1:11" x14ac:dyDescent="0.3">
      <c r="A51" s="3">
        <v>46061</v>
      </c>
      <c r="B51" s="2" t="str">
        <f t="shared" si="0"/>
        <v>Feb-2026</v>
      </c>
      <c r="C51">
        <v>8</v>
      </c>
      <c r="D51">
        <v>49</v>
      </c>
      <c r="E51">
        <v>15</v>
      </c>
      <c r="F51" s="1">
        <v>2192</v>
      </c>
      <c r="G51">
        <v>17</v>
      </c>
      <c r="H51">
        <f t="shared" si="1"/>
        <v>0.30612244897959184</v>
      </c>
      <c r="I51">
        <f t="shared" si="2"/>
        <v>7.7554744525547446E-3</v>
      </c>
      <c r="J51">
        <f t="shared" si="3"/>
        <v>-9</v>
      </c>
      <c r="K51" t="str">
        <f t="shared" si="4"/>
        <v>Feb-2026</v>
      </c>
    </row>
    <row r="52" spans="1:11" x14ac:dyDescent="0.3">
      <c r="A52" s="3">
        <v>46062</v>
      </c>
      <c r="B52" s="2" t="str">
        <f t="shared" si="0"/>
        <v>Feb-2026</v>
      </c>
      <c r="C52">
        <v>11</v>
      </c>
      <c r="D52">
        <v>45</v>
      </c>
      <c r="E52">
        <v>4</v>
      </c>
      <c r="F52" s="1">
        <v>2189</v>
      </c>
      <c r="G52">
        <v>10</v>
      </c>
      <c r="H52">
        <f t="shared" si="1"/>
        <v>8.8888888888888892E-2</v>
      </c>
      <c r="I52">
        <f t="shared" si="2"/>
        <v>4.5682960255824575E-3</v>
      </c>
      <c r="J52">
        <f t="shared" si="3"/>
        <v>1</v>
      </c>
      <c r="K52" t="str">
        <f t="shared" si="4"/>
        <v>Feb-2026</v>
      </c>
    </row>
    <row r="53" spans="1:11" x14ac:dyDescent="0.3">
      <c r="A53" s="3">
        <v>46063</v>
      </c>
      <c r="B53" s="2" t="str">
        <f t="shared" si="0"/>
        <v>Feb-2026</v>
      </c>
      <c r="C53">
        <v>5</v>
      </c>
      <c r="D53">
        <v>33</v>
      </c>
      <c r="E53">
        <v>15</v>
      </c>
      <c r="F53" s="1">
        <v>2187</v>
      </c>
      <c r="G53">
        <v>10</v>
      </c>
      <c r="H53">
        <f t="shared" si="1"/>
        <v>0.45454545454545453</v>
      </c>
      <c r="I53">
        <f t="shared" si="2"/>
        <v>4.5724737082761778E-3</v>
      </c>
      <c r="J53">
        <f t="shared" si="3"/>
        <v>-5</v>
      </c>
      <c r="K53" t="str">
        <f t="shared" si="4"/>
        <v>Feb-2026</v>
      </c>
    </row>
    <row r="54" spans="1:11" x14ac:dyDescent="0.3">
      <c r="A54" s="3">
        <v>46064</v>
      </c>
      <c r="B54" s="2" t="str">
        <f t="shared" si="0"/>
        <v>Feb-2026</v>
      </c>
      <c r="C54">
        <v>8</v>
      </c>
      <c r="D54">
        <v>28</v>
      </c>
      <c r="E54">
        <v>13</v>
      </c>
      <c r="F54" s="1">
        <v>2180</v>
      </c>
      <c r="G54">
        <v>16</v>
      </c>
      <c r="H54">
        <f t="shared" si="1"/>
        <v>0.4642857142857143</v>
      </c>
      <c r="I54">
        <f t="shared" si="2"/>
        <v>7.3394495412844041E-3</v>
      </c>
      <c r="J54">
        <f t="shared" si="3"/>
        <v>-8</v>
      </c>
      <c r="K54" t="str">
        <f t="shared" si="4"/>
        <v>Feb-2026</v>
      </c>
    </row>
    <row r="55" spans="1:11" x14ac:dyDescent="0.3">
      <c r="A55" s="3">
        <v>46065</v>
      </c>
      <c r="B55" s="2" t="str">
        <f t="shared" si="0"/>
        <v>Feb-2026</v>
      </c>
      <c r="C55">
        <v>20</v>
      </c>
      <c r="D55">
        <v>51</v>
      </c>
      <c r="E55">
        <v>15</v>
      </c>
      <c r="F55" s="1">
        <v>2164</v>
      </c>
      <c r="G55">
        <v>16</v>
      </c>
      <c r="H55">
        <f t="shared" si="1"/>
        <v>0.29411764705882354</v>
      </c>
      <c r="I55">
        <f t="shared" si="2"/>
        <v>7.3937153419593345E-3</v>
      </c>
      <c r="J55">
        <f t="shared" si="3"/>
        <v>4</v>
      </c>
      <c r="K55" t="str">
        <f t="shared" si="4"/>
        <v>Feb-2026</v>
      </c>
    </row>
    <row r="56" spans="1:11" x14ac:dyDescent="0.3">
      <c r="A56" s="3">
        <v>46066</v>
      </c>
      <c r="B56" s="2" t="str">
        <f t="shared" si="0"/>
        <v>Feb-2026</v>
      </c>
      <c r="C56">
        <v>4</v>
      </c>
      <c r="D56">
        <v>33</v>
      </c>
      <c r="E56">
        <v>12</v>
      </c>
      <c r="F56" s="1">
        <v>2163</v>
      </c>
      <c r="G56">
        <v>14</v>
      </c>
      <c r="H56">
        <f t="shared" si="1"/>
        <v>0.36363636363636365</v>
      </c>
      <c r="I56">
        <f t="shared" si="2"/>
        <v>6.4724919093851136E-3</v>
      </c>
      <c r="J56">
        <f t="shared" si="3"/>
        <v>-10</v>
      </c>
      <c r="K56" t="str">
        <f t="shared" si="4"/>
        <v>Feb-2026</v>
      </c>
    </row>
    <row r="57" spans="1:11" x14ac:dyDescent="0.3">
      <c r="A57" s="3">
        <v>46067</v>
      </c>
      <c r="B57" s="2" t="str">
        <f t="shared" si="0"/>
        <v>Feb-2026</v>
      </c>
      <c r="C57">
        <v>8</v>
      </c>
      <c r="D57">
        <v>32</v>
      </c>
      <c r="E57">
        <v>12</v>
      </c>
      <c r="F57" s="1">
        <v>2159</v>
      </c>
      <c r="G57">
        <v>7</v>
      </c>
      <c r="H57">
        <f t="shared" si="1"/>
        <v>0.375</v>
      </c>
      <c r="I57">
        <f t="shared" si="2"/>
        <v>3.2422417786012042E-3</v>
      </c>
      <c r="J57">
        <f t="shared" si="3"/>
        <v>1</v>
      </c>
      <c r="K57" t="str">
        <f t="shared" si="4"/>
        <v>Feb-2026</v>
      </c>
    </row>
    <row r="58" spans="1:11" x14ac:dyDescent="0.3">
      <c r="A58" s="3">
        <v>46068</v>
      </c>
      <c r="B58" s="2" t="str">
        <f t="shared" si="0"/>
        <v>Feb-2026</v>
      </c>
      <c r="C58">
        <v>8</v>
      </c>
      <c r="D58">
        <v>35</v>
      </c>
      <c r="E58">
        <v>12</v>
      </c>
      <c r="F58" s="1">
        <v>2148</v>
      </c>
      <c r="G58">
        <v>13</v>
      </c>
      <c r="H58">
        <f t="shared" si="1"/>
        <v>0.34285714285714286</v>
      </c>
      <c r="I58">
        <f t="shared" si="2"/>
        <v>6.0521415270018619E-3</v>
      </c>
      <c r="J58">
        <f t="shared" si="3"/>
        <v>-5</v>
      </c>
      <c r="K58" t="str">
        <f t="shared" si="4"/>
        <v>Feb-2026</v>
      </c>
    </row>
    <row r="59" spans="1:11" x14ac:dyDescent="0.3">
      <c r="A59" s="3">
        <v>46069</v>
      </c>
      <c r="B59" s="2" t="str">
        <f t="shared" si="0"/>
        <v>Feb-2026</v>
      </c>
      <c r="C59">
        <v>11</v>
      </c>
      <c r="D59">
        <v>29</v>
      </c>
      <c r="E59">
        <v>12</v>
      </c>
      <c r="F59" s="1">
        <v>2146</v>
      </c>
      <c r="G59">
        <v>9</v>
      </c>
      <c r="H59">
        <f t="shared" si="1"/>
        <v>0.41379310344827586</v>
      </c>
      <c r="I59">
        <f t="shared" si="2"/>
        <v>4.1938490214352281E-3</v>
      </c>
      <c r="J59">
        <f t="shared" si="3"/>
        <v>2</v>
      </c>
      <c r="K59" t="str">
        <f t="shared" si="4"/>
        <v>Feb-2026</v>
      </c>
    </row>
    <row r="60" spans="1:11" x14ac:dyDescent="0.3">
      <c r="A60" s="3">
        <v>46070</v>
      </c>
      <c r="B60" s="2" t="str">
        <f t="shared" si="0"/>
        <v>Feb-2026</v>
      </c>
      <c r="C60">
        <v>6</v>
      </c>
      <c r="D60">
        <v>35</v>
      </c>
      <c r="E60">
        <v>12</v>
      </c>
      <c r="F60" s="1">
        <v>2132</v>
      </c>
      <c r="G60">
        <v>18</v>
      </c>
      <c r="H60">
        <f t="shared" si="1"/>
        <v>0.34285714285714286</v>
      </c>
      <c r="I60">
        <f t="shared" si="2"/>
        <v>8.4427767354596627E-3</v>
      </c>
      <c r="J60">
        <f t="shared" si="3"/>
        <v>-12</v>
      </c>
      <c r="K60" t="str">
        <f t="shared" si="4"/>
        <v>Feb-2026</v>
      </c>
    </row>
    <row r="61" spans="1:11" x14ac:dyDescent="0.3">
      <c r="A61" s="3">
        <v>46071</v>
      </c>
      <c r="B61" s="2" t="str">
        <f t="shared" si="0"/>
        <v>Feb-2026</v>
      </c>
      <c r="C61">
        <v>3</v>
      </c>
      <c r="D61">
        <v>38</v>
      </c>
      <c r="E61">
        <v>12</v>
      </c>
      <c r="F61" s="1">
        <v>2138</v>
      </c>
      <c r="G61">
        <v>17</v>
      </c>
      <c r="H61">
        <f t="shared" si="1"/>
        <v>0.31578947368421051</v>
      </c>
      <c r="I61">
        <f t="shared" si="2"/>
        <v>7.9513564078578115E-3</v>
      </c>
      <c r="J61">
        <f t="shared" si="3"/>
        <v>-14</v>
      </c>
      <c r="K61" t="str">
        <f t="shared" si="4"/>
        <v>Feb-2026</v>
      </c>
    </row>
    <row r="62" spans="1:11" x14ac:dyDescent="0.3">
      <c r="A62" s="3">
        <v>46072</v>
      </c>
      <c r="B62" s="2" t="str">
        <f t="shared" si="0"/>
        <v>Feb-2026</v>
      </c>
      <c r="C62">
        <v>11</v>
      </c>
      <c r="D62">
        <v>36</v>
      </c>
      <c r="E62">
        <v>10</v>
      </c>
      <c r="F62" s="1">
        <v>2145</v>
      </c>
      <c r="G62">
        <v>15</v>
      </c>
      <c r="H62">
        <f t="shared" si="1"/>
        <v>0.27777777777777779</v>
      </c>
      <c r="I62">
        <f t="shared" si="2"/>
        <v>6.993006993006993E-3</v>
      </c>
      <c r="J62">
        <f t="shared" si="3"/>
        <v>-4</v>
      </c>
      <c r="K62" t="str">
        <f t="shared" si="4"/>
        <v>Feb-2026</v>
      </c>
    </row>
    <row r="63" spans="1:11" x14ac:dyDescent="0.3">
      <c r="A63" s="3">
        <v>46073</v>
      </c>
      <c r="B63" s="2" t="str">
        <f t="shared" si="0"/>
        <v>Feb-2026</v>
      </c>
      <c r="C63">
        <v>17</v>
      </c>
      <c r="D63">
        <v>40</v>
      </c>
      <c r="E63">
        <v>14</v>
      </c>
      <c r="F63" s="1">
        <v>2141</v>
      </c>
      <c r="G63">
        <v>10</v>
      </c>
      <c r="H63">
        <f t="shared" si="1"/>
        <v>0.35</v>
      </c>
      <c r="I63">
        <f t="shared" si="2"/>
        <v>4.6707146193367584E-3</v>
      </c>
      <c r="J63">
        <f t="shared" si="3"/>
        <v>7</v>
      </c>
      <c r="K63" t="str">
        <f t="shared" si="4"/>
        <v>Feb-2026</v>
      </c>
    </row>
    <row r="64" spans="1:11" x14ac:dyDescent="0.3">
      <c r="A64" s="3">
        <v>46074</v>
      </c>
      <c r="B64" s="2" t="str">
        <f t="shared" si="0"/>
        <v>Feb-2026</v>
      </c>
      <c r="C64">
        <v>8</v>
      </c>
      <c r="D64">
        <v>35</v>
      </c>
      <c r="E64">
        <v>13</v>
      </c>
      <c r="F64" s="1">
        <v>2134</v>
      </c>
      <c r="G64">
        <v>5</v>
      </c>
      <c r="H64">
        <f t="shared" si="1"/>
        <v>0.37142857142857144</v>
      </c>
      <c r="I64">
        <f t="shared" si="2"/>
        <v>2.3430178069353325E-3</v>
      </c>
      <c r="J64">
        <f t="shared" si="3"/>
        <v>3</v>
      </c>
      <c r="K64" t="str">
        <f t="shared" si="4"/>
        <v>Feb-2026</v>
      </c>
    </row>
    <row r="65" spans="1:11" x14ac:dyDescent="0.3">
      <c r="A65" s="3">
        <v>46075</v>
      </c>
      <c r="B65" s="2" t="str">
        <f t="shared" si="0"/>
        <v>Feb-2026</v>
      </c>
      <c r="C65">
        <v>20</v>
      </c>
      <c r="D65">
        <v>52</v>
      </c>
      <c r="E65">
        <v>11</v>
      </c>
      <c r="F65" s="1">
        <v>2096</v>
      </c>
      <c r="G65">
        <v>14</v>
      </c>
      <c r="H65">
        <f t="shared" si="1"/>
        <v>0.21153846153846154</v>
      </c>
      <c r="I65">
        <f t="shared" si="2"/>
        <v>6.6793893129770991E-3</v>
      </c>
      <c r="J65">
        <f t="shared" si="3"/>
        <v>6</v>
      </c>
      <c r="K65" t="str">
        <f t="shared" si="4"/>
        <v>Feb-2026</v>
      </c>
    </row>
    <row r="66" spans="1:11" x14ac:dyDescent="0.3">
      <c r="A66" s="3">
        <v>46076</v>
      </c>
      <c r="B66" s="2" t="str">
        <f t="shared" si="0"/>
        <v>Feb-2026</v>
      </c>
      <c r="C66">
        <v>7</v>
      </c>
      <c r="D66">
        <v>38</v>
      </c>
      <c r="E66">
        <v>5</v>
      </c>
      <c r="F66" s="1">
        <v>2096</v>
      </c>
      <c r="G66">
        <v>13</v>
      </c>
      <c r="H66">
        <f t="shared" si="1"/>
        <v>0.13157894736842105</v>
      </c>
      <c r="I66">
        <f t="shared" si="2"/>
        <v>6.2022900763358778E-3</v>
      </c>
      <c r="J66">
        <f t="shared" si="3"/>
        <v>-6</v>
      </c>
      <c r="K66" t="str">
        <f t="shared" si="4"/>
        <v>Feb-2026</v>
      </c>
    </row>
    <row r="67" spans="1:11" x14ac:dyDescent="0.3">
      <c r="A67" s="3">
        <v>46077</v>
      </c>
      <c r="B67" s="2" t="str">
        <f t="shared" ref="B67:B130" si="5">TEXT(A67,"mmm-yyyy")</f>
        <v>Feb-2026</v>
      </c>
      <c r="C67">
        <v>7</v>
      </c>
      <c r="D67">
        <v>28</v>
      </c>
      <c r="E67">
        <v>17</v>
      </c>
      <c r="F67" s="1">
        <v>2095</v>
      </c>
      <c r="G67">
        <v>12</v>
      </c>
      <c r="H67">
        <f t="shared" ref="H67:H130" si="6">E67/D67</f>
        <v>0.6071428571428571</v>
      </c>
      <c r="I67">
        <f t="shared" ref="I67:I130" si="7">G67/F67</f>
        <v>5.7279236276849641E-3</v>
      </c>
      <c r="J67">
        <f t="shared" ref="J67:J130" si="8">C67-G67</f>
        <v>-5</v>
      </c>
      <c r="K67" t="str">
        <f t="shared" ref="K67:K130" si="9">TEXT(A67,"mmm-yyyy")</f>
        <v>Feb-2026</v>
      </c>
    </row>
    <row r="68" spans="1:11" x14ac:dyDescent="0.3">
      <c r="A68" s="3">
        <v>46078</v>
      </c>
      <c r="B68" s="2" t="str">
        <f t="shared" si="5"/>
        <v>Feb-2026</v>
      </c>
      <c r="C68">
        <v>9</v>
      </c>
      <c r="D68">
        <v>47</v>
      </c>
      <c r="E68">
        <v>10</v>
      </c>
      <c r="F68" s="1">
        <v>2086</v>
      </c>
      <c r="G68">
        <v>10</v>
      </c>
      <c r="H68">
        <f t="shared" si="6"/>
        <v>0.21276595744680851</v>
      </c>
      <c r="I68">
        <f t="shared" si="7"/>
        <v>4.7938638542665392E-3</v>
      </c>
      <c r="J68">
        <f t="shared" si="8"/>
        <v>-1</v>
      </c>
      <c r="K68" t="str">
        <f t="shared" si="9"/>
        <v>Feb-2026</v>
      </c>
    </row>
    <row r="69" spans="1:11" x14ac:dyDescent="0.3">
      <c r="A69" s="3">
        <v>46079</v>
      </c>
      <c r="B69" s="2" t="str">
        <f t="shared" si="5"/>
        <v>Feb-2026</v>
      </c>
      <c r="C69">
        <v>7</v>
      </c>
      <c r="D69">
        <v>39</v>
      </c>
      <c r="E69">
        <v>13</v>
      </c>
      <c r="F69" s="1">
        <v>2083</v>
      </c>
      <c r="G69">
        <v>5</v>
      </c>
      <c r="H69">
        <f t="shared" si="6"/>
        <v>0.33333333333333331</v>
      </c>
      <c r="I69">
        <f t="shared" si="7"/>
        <v>2.400384061449832E-3</v>
      </c>
      <c r="J69">
        <f t="shared" si="8"/>
        <v>2</v>
      </c>
      <c r="K69" t="str">
        <f t="shared" si="9"/>
        <v>Feb-2026</v>
      </c>
    </row>
    <row r="70" spans="1:11" x14ac:dyDescent="0.3">
      <c r="A70" s="3">
        <v>46080</v>
      </c>
      <c r="B70" s="2" t="str">
        <f t="shared" si="5"/>
        <v>Feb-2026</v>
      </c>
      <c r="C70">
        <v>12</v>
      </c>
      <c r="D70">
        <v>38</v>
      </c>
      <c r="E70">
        <v>29</v>
      </c>
      <c r="F70" s="1">
        <v>2047</v>
      </c>
      <c r="G70">
        <v>6</v>
      </c>
      <c r="H70">
        <f t="shared" si="6"/>
        <v>0.76315789473684215</v>
      </c>
      <c r="I70">
        <f t="shared" si="7"/>
        <v>2.9311187103077674E-3</v>
      </c>
      <c r="J70">
        <f t="shared" si="8"/>
        <v>6</v>
      </c>
      <c r="K70" t="str">
        <f t="shared" si="9"/>
        <v>Feb-2026</v>
      </c>
    </row>
    <row r="71" spans="1:11" x14ac:dyDescent="0.3">
      <c r="A71" s="3">
        <v>46081</v>
      </c>
      <c r="B71" s="2" t="str">
        <f t="shared" si="5"/>
        <v>Feb-2026</v>
      </c>
      <c r="C71">
        <v>10</v>
      </c>
      <c r="D71">
        <v>47</v>
      </c>
      <c r="E71">
        <v>14</v>
      </c>
      <c r="F71" s="1">
        <v>2025</v>
      </c>
      <c r="G71">
        <v>18</v>
      </c>
      <c r="H71">
        <f t="shared" si="6"/>
        <v>0.2978723404255319</v>
      </c>
      <c r="I71">
        <f t="shared" si="7"/>
        <v>8.8888888888888889E-3</v>
      </c>
      <c r="J71">
        <f t="shared" si="8"/>
        <v>-8</v>
      </c>
      <c r="K71" t="str">
        <f t="shared" si="9"/>
        <v>Feb-2026</v>
      </c>
    </row>
    <row r="72" spans="1:11" x14ac:dyDescent="0.3">
      <c r="A72" s="3">
        <v>46082</v>
      </c>
      <c r="B72" s="2" t="str">
        <f t="shared" si="5"/>
        <v>Mar-2026</v>
      </c>
      <c r="C72">
        <v>18</v>
      </c>
      <c r="D72">
        <v>42</v>
      </c>
      <c r="E72">
        <v>11</v>
      </c>
      <c r="F72" s="1">
        <v>2023</v>
      </c>
      <c r="G72">
        <v>14</v>
      </c>
      <c r="H72">
        <f t="shared" si="6"/>
        <v>0.26190476190476192</v>
      </c>
      <c r="I72">
        <f t="shared" si="7"/>
        <v>6.920415224913495E-3</v>
      </c>
      <c r="J72">
        <f t="shared" si="8"/>
        <v>4</v>
      </c>
      <c r="K72" t="str">
        <f t="shared" si="9"/>
        <v>Mar-2026</v>
      </c>
    </row>
    <row r="73" spans="1:11" x14ac:dyDescent="0.3">
      <c r="A73" s="3">
        <v>46083</v>
      </c>
      <c r="B73" s="2" t="str">
        <f t="shared" si="5"/>
        <v>Mar-2026</v>
      </c>
      <c r="C73">
        <v>7</v>
      </c>
      <c r="D73">
        <v>25</v>
      </c>
      <c r="E73">
        <v>5</v>
      </c>
      <c r="F73" s="1">
        <v>2025</v>
      </c>
      <c r="G73">
        <v>6</v>
      </c>
      <c r="H73">
        <f t="shared" si="6"/>
        <v>0.2</v>
      </c>
      <c r="I73">
        <f t="shared" si="7"/>
        <v>2.9629629629629628E-3</v>
      </c>
      <c r="J73">
        <f t="shared" si="8"/>
        <v>1</v>
      </c>
      <c r="K73" t="str">
        <f t="shared" si="9"/>
        <v>Mar-2026</v>
      </c>
    </row>
    <row r="74" spans="1:11" x14ac:dyDescent="0.3">
      <c r="A74" s="3">
        <v>46084</v>
      </c>
      <c r="B74" s="2" t="str">
        <f t="shared" si="5"/>
        <v>Mar-2026</v>
      </c>
      <c r="C74">
        <v>4</v>
      </c>
      <c r="D74">
        <v>19</v>
      </c>
      <c r="E74">
        <v>9</v>
      </c>
      <c r="F74" s="1">
        <v>2026</v>
      </c>
      <c r="G74">
        <v>7</v>
      </c>
      <c r="H74">
        <f t="shared" si="6"/>
        <v>0.47368421052631576</v>
      </c>
      <c r="I74">
        <f t="shared" si="7"/>
        <v>3.4550839091806516E-3</v>
      </c>
      <c r="J74">
        <f t="shared" si="8"/>
        <v>-3</v>
      </c>
      <c r="K74" t="str">
        <f t="shared" si="9"/>
        <v>Mar-2026</v>
      </c>
    </row>
    <row r="75" spans="1:11" x14ac:dyDescent="0.3">
      <c r="A75" s="3">
        <v>46085</v>
      </c>
      <c r="B75" s="2" t="str">
        <f t="shared" si="5"/>
        <v>Mar-2026</v>
      </c>
      <c r="C75">
        <v>11</v>
      </c>
      <c r="D75">
        <v>40</v>
      </c>
      <c r="E75">
        <v>2</v>
      </c>
      <c r="F75" s="1">
        <v>2015</v>
      </c>
      <c r="G75">
        <v>14</v>
      </c>
      <c r="H75">
        <f t="shared" si="6"/>
        <v>0.05</v>
      </c>
      <c r="I75">
        <f t="shared" si="7"/>
        <v>6.9478908188585608E-3</v>
      </c>
      <c r="J75">
        <f t="shared" si="8"/>
        <v>-3</v>
      </c>
      <c r="K75" t="str">
        <f t="shared" si="9"/>
        <v>Mar-2026</v>
      </c>
    </row>
    <row r="76" spans="1:11" x14ac:dyDescent="0.3">
      <c r="A76" s="3">
        <v>46086</v>
      </c>
      <c r="B76" s="2" t="str">
        <f t="shared" si="5"/>
        <v>Mar-2026</v>
      </c>
      <c r="C76">
        <v>4</v>
      </c>
      <c r="D76">
        <v>29</v>
      </c>
      <c r="E76">
        <v>11</v>
      </c>
      <c r="F76" s="1">
        <v>2019</v>
      </c>
      <c r="G76">
        <v>10</v>
      </c>
      <c r="H76">
        <f t="shared" si="6"/>
        <v>0.37931034482758619</v>
      </c>
      <c r="I76">
        <f t="shared" si="7"/>
        <v>4.9529470034670627E-3</v>
      </c>
      <c r="J76">
        <f t="shared" si="8"/>
        <v>-6</v>
      </c>
      <c r="K76" t="str">
        <f t="shared" si="9"/>
        <v>Mar-2026</v>
      </c>
    </row>
    <row r="77" spans="1:11" x14ac:dyDescent="0.3">
      <c r="A77" s="3">
        <v>46087</v>
      </c>
      <c r="B77" s="2" t="str">
        <f t="shared" si="5"/>
        <v>Mar-2026</v>
      </c>
      <c r="C77">
        <v>6</v>
      </c>
      <c r="D77">
        <v>35</v>
      </c>
      <c r="E77">
        <v>9</v>
      </c>
      <c r="F77" s="1">
        <v>2020</v>
      </c>
      <c r="G77">
        <v>9</v>
      </c>
      <c r="H77">
        <f t="shared" si="6"/>
        <v>0.25714285714285712</v>
      </c>
      <c r="I77">
        <f t="shared" si="7"/>
        <v>4.4554455445544551E-3</v>
      </c>
      <c r="J77">
        <f t="shared" si="8"/>
        <v>-3</v>
      </c>
      <c r="K77" t="str">
        <f t="shared" si="9"/>
        <v>Mar-2026</v>
      </c>
    </row>
    <row r="78" spans="1:11" x14ac:dyDescent="0.3">
      <c r="A78" s="3">
        <v>46088</v>
      </c>
      <c r="B78" s="2" t="str">
        <f t="shared" si="5"/>
        <v>Mar-2026</v>
      </c>
      <c r="C78">
        <v>10</v>
      </c>
      <c r="D78">
        <v>29</v>
      </c>
      <c r="E78">
        <v>17</v>
      </c>
      <c r="F78" s="1">
        <v>2010</v>
      </c>
      <c r="G78">
        <v>5</v>
      </c>
      <c r="H78">
        <f t="shared" si="6"/>
        <v>0.58620689655172409</v>
      </c>
      <c r="I78">
        <f t="shared" si="7"/>
        <v>2.4875621890547263E-3</v>
      </c>
      <c r="J78">
        <f t="shared" si="8"/>
        <v>5</v>
      </c>
      <c r="K78" t="str">
        <f t="shared" si="9"/>
        <v>Mar-2026</v>
      </c>
    </row>
    <row r="79" spans="1:11" x14ac:dyDescent="0.3">
      <c r="A79" s="3">
        <v>46089</v>
      </c>
      <c r="B79" s="2" t="str">
        <f t="shared" si="5"/>
        <v>Mar-2026</v>
      </c>
      <c r="C79">
        <v>8</v>
      </c>
      <c r="D79">
        <v>33</v>
      </c>
      <c r="E79">
        <v>6</v>
      </c>
      <c r="F79" s="1">
        <v>1984</v>
      </c>
      <c r="G79">
        <v>17</v>
      </c>
      <c r="H79">
        <f t="shared" si="6"/>
        <v>0.18181818181818182</v>
      </c>
      <c r="I79">
        <f t="shared" si="7"/>
        <v>8.5685483870967735E-3</v>
      </c>
      <c r="J79">
        <f t="shared" si="8"/>
        <v>-9</v>
      </c>
      <c r="K79" t="str">
        <f t="shared" si="9"/>
        <v>Mar-2026</v>
      </c>
    </row>
    <row r="80" spans="1:11" x14ac:dyDescent="0.3">
      <c r="A80" s="3">
        <v>46090</v>
      </c>
      <c r="B80" s="2" t="str">
        <f t="shared" si="5"/>
        <v>Mar-2026</v>
      </c>
      <c r="C80">
        <v>5</v>
      </c>
      <c r="D80">
        <v>19</v>
      </c>
      <c r="E80">
        <v>9</v>
      </c>
      <c r="F80" s="1">
        <v>1988</v>
      </c>
      <c r="G80">
        <v>19</v>
      </c>
      <c r="H80">
        <f t="shared" si="6"/>
        <v>0.47368421052631576</v>
      </c>
      <c r="I80">
        <f t="shared" si="7"/>
        <v>9.5573440643863181E-3</v>
      </c>
      <c r="J80">
        <f t="shared" si="8"/>
        <v>-14</v>
      </c>
      <c r="K80" t="str">
        <f t="shared" si="9"/>
        <v>Mar-2026</v>
      </c>
    </row>
    <row r="81" spans="1:11" x14ac:dyDescent="0.3">
      <c r="A81" s="3">
        <v>46091</v>
      </c>
      <c r="B81" s="2" t="str">
        <f t="shared" si="5"/>
        <v>Mar-2026</v>
      </c>
      <c r="C81">
        <v>10</v>
      </c>
      <c r="D81">
        <v>21</v>
      </c>
      <c r="E81">
        <v>20</v>
      </c>
      <c r="F81" s="1">
        <v>1989</v>
      </c>
      <c r="G81">
        <v>15</v>
      </c>
      <c r="H81">
        <f t="shared" si="6"/>
        <v>0.95238095238095233</v>
      </c>
      <c r="I81">
        <f t="shared" si="7"/>
        <v>7.5414781297134239E-3</v>
      </c>
      <c r="J81">
        <f t="shared" si="8"/>
        <v>-5</v>
      </c>
      <c r="K81" t="str">
        <f t="shared" si="9"/>
        <v>Mar-2026</v>
      </c>
    </row>
    <row r="82" spans="1:11" x14ac:dyDescent="0.3">
      <c r="A82" s="3">
        <v>46092</v>
      </c>
      <c r="B82" s="2" t="str">
        <f t="shared" si="5"/>
        <v>Mar-2026</v>
      </c>
      <c r="C82">
        <v>8</v>
      </c>
      <c r="D82">
        <v>30</v>
      </c>
      <c r="E82">
        <v>8</v>
      </c>
      <c r="F82" s="1">
        <v>1980</v>
      </c>
      <c r="G82">
        <v>11</v>
      </c>
      <c r="H82">
        <f t="shared" si="6"/>
        <v>0.26666666666666666</v>
      </c>
      <c r="I82">
        <f t="shared" si="7"/>
        <v>5.5555555555555558E-3</v>
      </c>
      <c r="J82">
        <f t="shared" si="8"/>
        <v>-3</v>
      </c>
      <c r="K82" t="str">
        <f t="shared" si="9"/>
        <v>Mar-2026</v>
      </c>
    </row>
    <row r="83" spans="1:11" x14ac:dyDescent="0.3">
      <c r="A83" s="3">
        <v>46093</v>
      </c>
      <c r="B83" s="2" t="str">
        <f t="shared" si="5"/>
        <v>Mar-2026</v>
      </c>
      <c r="C83">
        <v>4</v>
      </c>
      <c r="D83">
        <v>21</v>
      </c>
      <c r="E83">
        <v>5</v>
      </c>
      <c r="F83" s="1">
        <v>1981</v>
      </c>
      <c r="G83">
        <v>5</v>
      </c>
      <c r="H83">
        <f t="shared" si="6"/>
        <v>0.23809523809523808</v>
      </c>
      <c r="I83">
        <f t="shared" si="7"/>
        <v>2.5239777889954568E-3</v>
      </c>
      <c r="J83">
        <f t="shared" si="8"/>
        <v>-1</v>
      </c>
      <c r="K83" t="str">
        <f t="shared" si="9"/>
        <v>Mar-2026</v>
      </c>
    </row>
    <row r="84" spans="1:11" x14ac:dyDescent="0.3">
      <c r="A84" s="3">
        <v>46094</v>
      </c>
      <c r="B84" s="2" t="str">
        <f t="shared" si="5"/>
        <v>Mar-2026</v>
      </c>
      <c r="C84">
        <v>6</v>
      </c>
      <c r="D84">
        <v>49</v>
      </c>
      <c r="E84">
        <v>8</v>
      </c>
      <c r="F84" s="1">
        <v>1972</v>
      </c>
      <c r="G84">
        <v>21</v>
      </c>
      <c r="H84">
        <f t="shared" si="6"/>
        <v>0.16326530612244897</v>
      </c>
      <c r="I84">
        <f t="shared" si="7"/>
        <v>1.0649087221095335E-2</v>
      </c>
      <c r="J84">
        <f t="shared" si="8"/>
        <v>-15</v>
      </c>
      <c r="K84" t="str">
        <f t="shared" si="9"/>
        <v>Mar-2026</v>
      </c>
    </row>
    <row r="85" spans="1:11" x14ac:dyDescent="0.3">
      <c r="A85" s="3">
        <v>46095</v>
      </c>
      <c r="B85" s="2" t="str">
        <f t="shared" si="5"/>
        <v>Mar-2026</v>
      </c>
      <c r="C85">
        <v>10</v>
      </c>
      <c r="D85">
        <v>38</v>
      </c>
      <c r="E85">
        <v>10</v>
      </c>
      <c r="F85" s="1">
        <v>1983</v>
      </c>
      <c r="G85">
        <v>10</v>
      </c>
      <c r="H85">
        <f t="shared" si="6"/>
        <v>0.26315789473684209</v>
      </c>
      <c r="I85">
        <f t="shared" si="7"/>
        <v>5.0428643469490669E-3</v>
      </c>
      <c r="J85">
        <f t="shared" si="8"/>
        <v>0</v>
      </c>
      <c r="K85" t="str">
        <f t="shared" si="9"/>
        <v>Mar-2026</v>
      </c>
    </row>
    <row r="86" spans="1:11" x14ac:dyDescent="0.3">
      <c r="A86" s="3">
        <v>46096</v>
      </c>
      <c r="B86" s="2" t="str">
        <f t="shared" si="5"/>
        <v>Mar-2026</v>
      </c>
      <c r="C86">
        <v>5</v>
      </c>
      <c r="D86">
        <v>35</v>
      </c>
      <c r="E86">
        <v>3</v>
      </c>
      <c r="F86" s="1">
        <v>1980</v>
      </c>
      <c r="G86">
        <v>11</v>
      </c>
      <c r="H86">
        <f t="shared" si="6"/>
        <v>8.5714285714285715E-2</v>
      </c>
      <c r="I86">
        <f t="shared" si="7"/>
        <v>5.5555555555555558E-3</v>
      </c>
      <c r="J86">
        <f t="shared" si="8"/>
        <v>-6</v>
      </c>
      <c r="K86" t="str">
        <f t="shared" si="9"/>
        <v>Mar-2026</v>
      </c>
    </row>
    <row r="87" spans="1:11" x14ac:dyDescent="0.3">
      <c r="A87" s="3">
        <v>46097</v>
      </c>
      <c r="B87" s="2" t="str">
        <f t="shared" si="5"/>
        <v>Mar-2026</v>
      </c>
      <c r="C87">
        <v>4</v>
      </c>
      <c r="D87">
        <v>20</v>
      </c>
      <c r="E87">
        <v>6</v>
      </c>
      <c r="F87" s="1">
        <v>1985</v>
      </c>
      <c r="G87">
        <v>14</v>
      </c>
      <c r="H87">
        <f t="shared" si="6"/>
        <v>0.3</v>
      </c>
      <c r="I87">
        <f t="shared" si="7"/>
        <v>7.0528967254408059E-3</v>
      </c>
      <c r="J87">
        <f t="shared" si="8"/>
        <v>-10</v>
      </c>
      <c r="K87" t="str">
        <f t="shared" si="9"/>
        <v>Mar-2026</v>
      </c>
    </row>
    <row r="88" spans="1:11" x14ac:dyDescent="0.3">
      <c r="A88" s="3">
        <v>46098</v>
      </c>
      <c r="B88" s="2" t="str">
        <f t="shared" si="5"/>
        <v>Mar-2026</v>
      </c>
      <c r="C88">
        <v>4</v>
      </c>
      <c r="D88">
        <v>14</v>
      </c>
      <c r="E88">
        <v>2</v>
      </c>
      <c r="F88" s="1">
        <v>1991</v>
      </c>
      <c r="G88">
        <v>3</v>
      </c>
      <c r="H88">
        <f t="shared" si="6"/>
        <v>0.14285714285714285</v>
      </c>
      <c r="I88">
        <f t="shared" si="7"/>
        <v>1.5067805123053742E-3</v>
      </c>
      <c r="J88">
        <f t="shared" si="8"/>
        <v>1</v>
      </c>
      <c r="K88" t="str">
        <f t="shared" si="9"/>
        <v>Mar-2026</v>
      </c>
    </row>
    <row r="89" spans="1:11" x14ac:dyDescent="0.3">
      <c r="A89" s="3">
        <v>46099</v>
      </c>
      <c r="B89" s="2" t="str">
        <f t="shared" si="5"/>
        <v>Mar-2026</v>
      </c>
      <c r="C89">
        <v>3</v>
      </c>
      <c r="D89">
        <v>27</v>
      </c>
      <c r="E89">
        <v>4</v>
      </c>
      <c r="F89" s="1">
        <v>1994</v>
      </c>
      <c r="G89">
        <v>11</v>
      </c>
      <c r="H89">
        <f t="shared" si="6"/>
        <v>0.14814814814814814</v>
      </c>
      <c r="I89">
        <f t="shared" si="7"/>
        <v>5.5165496489468406E-3</v>
      </c>
      <c r="J89">
        <f t="shared" si="8"/>
        <v>-8</v>
      </c>
      <c r="K89" t="str">
        <f t="shared" si="9"/>
        <v>Mar-2026</v>
      </c>
    </row>
    <row r="90" spans="1:11" x14ac:dyDescent="0.3">
      <c r="A90" s="3">
        <v>46100</v>
      </c>
      <c r="B90" s="2" t="str">
        <f t="shared" si="5"/>
        <v>Mar-2026</v>
      </c>
      <c r="C90">
        <v>6</v>
      </c>
      <c r="D90">
        <v>22</v>
      </c>
      <c r="E90">
        <v>12</v>
      </c>
      <c r="F90" s="1">
        <v>1997</v>
      </c>
      <c r="G90">
        <v>17</v>
      </c>
      <c r="H90">
        <f t="shared" si="6"/>
        <v>0.54545454545454541</v>
      </c>
      <c r="I90">
        <f t="shared" si="7"/>
        <v>8.5127691537305959E-3</v>
      </c>
      <c r="J90">
        <f t="shared" si="8"/>
        <v>-11</v>
      </c>
      <c r="K90" t="str">
        <f t="shared" si="9"/>
        <v>Mar-2026</v>
      </c>
    </row>
    <row r="91" spans="1:11" x14ac:dyDescent="0.3">
      <c r="A91" s="3">
        <v>46101</v>
      </c>
      <c r="B91" s="2" t="str">
        <f t="shared" si="5"/>
        <v>Mar-2026</v>
      </c>
      <c r="C91">
        <v>8</v>
      </c>
      <c r="D91">
        <v>38</v>
      </c>
      <c r="E91">
        <v>9</v>
      </c>
      <c r="F91" s="1">
        <v>1999</v>
      </c>
      <c r="G91">
        <v>9</v>
      </c>
      <c r="H91">
        <f t="shared" si="6"/>
        <v>0.23684210526315788</v>
      </c>
      <c r="I91">
        <f t="shared" si="7"/>
        <v>4.5022511255627812E-3</v>
      </c>
      <c r="J91">
        <f t="shared" si="8"/>
        <v>-1</v>
      </c>
      <c r="K91" t="str">
        <f t="shared" si="9"/>
        <v>Mar-2026</v>
      </c>
    </row>
    <row r="92" spans="1:11" x14ac:dyDescent="0.3">
      <c r="A92" s="3">
        <v>46102</v>
      </c>
      <c r="B92" s="2" t="str">
        <f t="shared" si="5"/>
        <v>Mar-2026</v>
      </c>
      <c r="C92">
        <v>6</v>
      </c>
      <c r="D92">
        <v>23</v>
      </c>
      <c r="E92">
        <v>4</v>
      </c>
      <c r="F92" s="1">
        <v>1999</v>
      </c>
      <c r="G92">
        <v>16</v>
      </c>
      <c r="H92">
        <f t="shared" si="6"/>
        <v>0.17391304347826086</v>
      </c>
      <c r="I92">
        <f t="shared" si="7"/>
        <v>8.0040020010004997E-3</v>
      </c>
      <c r="J92">
        <f t="shared" si="8"/>
        <v>-10</v>
      </c>
      <c r="K92" t="str">
        <f t="shared" si="9"/>
        <v>Mar-2026</v>
      </c>
    </row>
    <row r="93" spans="1:11" x14ac:dyDescent="0.3">
      <c r="A93" s="3">
        <v>46103</v>
      </c>
      <c r="B93" s="2" t="str">
        <f t="shared" si="5"/>
        <v>Mar-2026</v>
      </c>
      <c r="C93">
        <v>0</v>
      </c>
      <c r="D93">
        <v>18</v>
      </c>
      <c r="E93">
        <v>8</v>
      </c>
      <c r="F93" s="1">
        <v>2006</v>
      </c>
      <c r="G93">
        <v>12</v>
      </c>
      <c r="H93">
        <f t="shared" si="6"/>
        <v>0.44444444444444442</v>
      </c>
      <c r="I93">
        <f t="shared" si="7"/>
        <v>5.9820538384845467E-3</v>
      </c>
      <c r="J93">
        <f t="shared" si="8"/>
        <v>-12</v>
      </c>
      <c r="K93" t="str">
        <f t="shared" si="9"/>
        <v>Mar-2026</v>
      </c>
    </row>
    <row r="94" spans="1:11" x14ac:dyDescent="0.3">
      <c r="A94" s="3">
        <v>46104</v>
      </c>
      <c r="B94" s="2" t="str">
        <f t="shared" si="5"/>
        <v>Mar-2026</v>
      </c>
      <c r="C94">
        <v>4</v>
      </c>
      <c r="D94">
        <v>18</v>
      </c>
      <c r="E94">
        <v>6</v>
      </c>
      <c r="F94" s="1">
        <v>2031</v>
      </c>
      <c r="G94">
        <v>17</v>
      </c>
      <c r="H94">
        <f t="shared" si="6"/>
        <v>0.33333333333333331</v>
      </c>
      <c r="I94">
        <f t="shared" si="7"/>
        <v>8.3702609551944852E-3</v>
      </c>
      <c r="J94">
        <f t="shared" si="8"/>
        <v>-13</v>
      </c>
      <c r="K94" t="str">
        <f t="shared" si="9"/>
        <v>Mar-2026</v>
      </c>
    </row>
    <row r="95" spans="1:11" x14ac:dyDescent="0.3">
      <c r="A95" s="3">
        <v>46105</v>
      </c>
      <c r="B95" s="2" t="str">
        <f t="shared" si="5"/>
        <v>Mar-2026</v>
      </c>
      <c r="C95">
        <v>4</v>
      </c>
      <c r="D95">
        <v>17</v>
      </c>
      <c r="E95">
        <v>3</v>
      </c>
      <c r="F95" s="1">
        <v>2036</v>
      </c>
      <c r="G95">
        <v>13</v>
      </c>
      <c r="H95">
        <f t="shared" si="6"/>
        <v>0.17647058823529413</v>
      </c>
      <c r="I95">
        <f t="shared" si="7"/>
        <v>6.3850687622789785E-3</v>
      </c>
      <c r="J95">
        <f t="shared" si="8"/>
        <v>-9</v>
      </c>
      <c r="K95" t="str">
        <f t="shared" si="9"/>
        <v>Mar-2026</v>
      </c>
    </row>
    <row r="96" spans="1:11" x14ac:dyDescent="0.3">
      <c r="A96" s="3">
        <v>46106</v>
      </c>
      <c r="B96" s="2" t="str">
        <f t="shared" si="5"/>
        <v>Mar-2026</v>
      </c>
      <c r="C96">
        <v>2</v>
      </c>
      <c r="D96">
        <v>21</v>
      </c>
      <c r="E96">
        <v>10</v>
      </c>
      <c r="F96" s="1">
        <v>2042</v>
      </c>
      <c r="G96">
        <v>14</v>
      </c>
      <c r="H96">
        <f t="shared" si="6"/>
        <v>0.47619047619047616</v>
      </c>
      <c r="I96">
        <f t="shared" si="7"/>
        <v>6.8560235063663075E-3</v>
      </c>
      <c r="J96">
        <f t="shared" si="8"/>
        <v>-12</v>
      </c>
      <c r="K96" t="str">
        <f t="shared" si="9"/>
        <v>Mar-2026</v>
      </c>
    </row>
    <row r="97" spans="1:11" x14ac:dyDescent="0.3">
      <c r="A97" s="3">
        <v>46107</v>
      </c>
      <c r="B97" s="2" t="str">
        <f t="shared" si="5"/>
        <v>Mar-2026</v>
      </c>
      <c r="C97">
        <v>5</v>
      </c>
      <c r="D97">
        <v>22</v>
      </c>
      <c r="E97">
        <v>11</v>
      </c>
      <c r="F97" s="1">
        <v>2040</v>
      </c>
      <c r="G97">
        <v>14</v>
      </c>
      <c r="H97">
        <f t="shared" si="6"/>
        <v>0.5</v>
      </c>
      <c r="I97">
        <f t="shared" si="7"/>
        <v>6.8627450980392156E-3</v>
      </c>
      <c r="J97">
        <f t="shared" si="8"/>
        <v>-9</v>
      </c>
      <c r="K97" t="str">
        <f t="shared" si="9"/>
        <v>Mar-2026</v>
      </c>
    </row>
    <row r="98" spans="1:11" x14ac:dyDescent="0.3">
      <c r="A98" s="3">
        <v>46108</v>
      </c>
      <c r="B98" s="2" t="str">
        <f t="shared" si="5"/>
        <v>Mar-2026</v>
      </c>
      <c r="C98">
        <v>5</v>
      </c>
      <c r="D98">
        <v>26</v>
      </c>
      <c r="E98">
        <v>3</v>
      </c>
      <c r="F98" s="1">
        <v>2049</v>
      </c>
      <c r="G98">
        <v>5</v>
      </c>
      <c r="H98">
        <f t="shared" si="6"/>
        <v>0.11538461538461539</v>
      </c>
      <c r="I98">
        <f t="shared" si="7"/>
        <v>2.440214738897023E-3</v>
      </c>
      <c r="J98">
        <f t="shared" si="8"/>
        <v>0</v>
      </c>
      <c r="K98" t="str">
        <f t="shared" si="9"/>
        <v>Mar-2026</v>
      </c>
    </row>
    <row r="99" spans="1:11" x14ac:dyDescent="0.3">
      <c r="A99" s="3">
        <v>46109</v>
      </c>
      <c r="B99" s="2" t="str">
        <f t="shared" si="5"/>
        <v>Mar-2026</v>
      </c>
      <c r="C99">
        <v>2</v>
      </c>
      <c r="D99">
        <v>9</v>
      </c>
      <c r="E99">
        <v>6</v>
      </c>
      <c r="F99" s="1">
        <v>2058</v>
      </c>
      <c r="G99">
        <v>15</v>
      </c>
      <c r="H99">
        <f t="shared" si="6"/>
        <v>0.66666666666666663</v>
      </c>
      <c r="I99">
        <f t="shared" si="7"/>
        <v>7.2886297376093291E-3</v>
      </c>
      <c r="J99">
        <f t="shared" si="8"/>
        <v>-13</v>
      </c>
      <c r="K99" t="str">
        <f t="shared" si="9"/>
        <v>Mar-2026</v>
      </c>
    </row>
    <row r="100" spans="1:11" x14ac:dyDescent="0.3">
      <c r="A100" s="3">
        <v>46110</v>
      </c>
      <c r="B100" s="2" t="str">
        <f t="shared" si="5"/>
        <v>Mar-2026</v>
      </c>
      <c r="C100">
        <v>4</v>
      </c>
      <c r="D100">
        <v>15</v>
      </c>
      <c r="E100">
        <v>4</v>
      </c>
      <c r="F100" s="1">
        <v>2063</v>
      </c>
      <c r="G100">
        <v>16</v>
      </c>
      <c r="H100">
        <f t="shared" si="6"/>
        <v>0.26666666666666666</v>
      </c>
      <c r="I100">
        <f t="shared" si="7"/>
        <v>7.7556955889481341E-3</v>
      </c>
      <c r="J100">
        <f t="shared" si="8"/>
        <v>-12</v>
      </c>
      <c r="K100" t="str">
        <f t="shared" si="9"/>
        <v>Mar-2026</v>
      </c>
    </row>
    <row r="101" spans="1:11" x14ac:dyDescent="0.3">
      <c r="A101" s="3">
        <v>46111</v>
      </c>
      <c r="B101" s="2" t="str">
        <f t="shared" si="5"/>
        <v>Mar-2026</v>
      </c>
      <c r="C101">
        <v>2</v>
      </c>
      <c r="D101">
        <v>8</v>
      </c>
      <c r="E101">
        <v>3</v>
      </c>
      <c r="F101" s="1">
        <v>2072</v>
      </c>
      <c r="G101">
        <v>12</v>
      </c>
      <c r="H101">
        <f t="shared" si="6"/>
        <v>0.375</v>
      </c>
      <c r="I101">
        <f t="shared" si="7"/>
        <v>5.7915057915057912E-3</v>
      </c>
      <c r="J101">
        <f t="shared" si="8"/>
        <v>-10</v>
      </c>
      <c r="K101" t="str">
        <f t="shared" si="9"/>
        <v>Mar-2026</v>
      </c>
    </row>
    <row r="102" spans="1:11" x14ac:dyDescent="0.3">
      <c r="A102" s="3">
        <v>46112</v>
      </c>
      <c r="B102" s="2" t="str">
        <f t="shared" si="5"/>
        <v>Mar-2026</v>
      </c>
      <c r="C102">
        <v>2</v>
      </c>
      <c r="D102">
        <v>9</v>
      </c>
      <c r="E102">
        <v>3</v>
      </c>
      <c r="F102" s="1">
        <v>2080</v>
      </c>
      <c r="G102">
        <v>14</v>
      </c>
      <c r="H102">
        <f t="shared" si="6"/>
        <v>0.33333333333333331</v>
      </c>
      <c r="I102">
        <f t="shared" si="7"/>
        <v>6.7307692307692311E-3</v>
      </c>
      <c r="J102">
        <f t="shared" si="8"/>
        <v>-12</v>
      </c>
      <c r="K102" t="str">
        <f t="shared" si="9"/>
        <v>Mar-2026</v>
      </c>
    </row>
    <row r="103" spans="1:11" x14ac:dyDescent="0.3">
      <c r="A103" s="3">
        <v>46113</v>
      </c>
      <c r="B103" s="2" t="str">
        <f t="shared" si="5"/>
        <v>Apr-2026</v>
      </c>
      <c r="C103">
        <v>1</v>
      </c>
      <c r="D103">
        <v>12</v>
      </c>
      <c r="E103">
        <v>2</v>
      </c>
      <c r="F103" s="1">
        <v>2088</v>
      </c>
      <c r="G103">
        <v>4</v>
      </c>
      <c r="H103">
        <f t="shared" si="6"/>
        <v>0.16666666666666666</v>
      </c>
      <c r="I103">
        <f t="shared" si="7"/>
        <v>1.9157088122605363E-3</v>
      </c>
      <c r="J103">
        <f t="shared" si="8"/>
        <v>-3</v>
      </c>
      <c r="K103" t="str">
        <f t="shared" si="9"/>
        <v>Apr-2026</v>
      </c>
    </row>
    <row r="104" spans="1:11" x14ac:dyDescent="0.3">
      <c r="A104" s="3">
        <v>46114</v>
      </c>
      <c r="B104" s="2" t="str">
        <f t="shared" si="5"/>
        <v>Apr-2026</v>
      </c>
      <c r="C104">
        <v>6</v>
      </c>
      <c r="D104">
        <v>18</v>
      </c>
      <c r="E104">
        <v>7</v>
      </c>
      <c r="F104" s="1">
        <v>2096</v>
      </c>
      <c r="G104">
        <v>29</v>
      </c>
      <c r="H104">
        <f t="shared" si="6"/>
        <v>0.3888888888888889</v>
      </c>
      <c r="I104">
        <f t="shared" si="7"/>
        <v>1.383587786259542E-2</v>
      </c>
      <c r="J104">
        <f t="shared" si="8"/>
        <v>-23</v>
      </c>
      <c r="K104" t="str">
        <f t="shared" si="9"/>
        <v>Apr-2026</v>
      </c>
    </row>
    <row r="105" spans="1:11" x14ac:dyDescent="0.3">
      <c r="A105" s="3">
        <v>46115</v>
      </c>
      <c r="B105" s="2" t="str">
        <f t="shared" si="5"/>
        <v>Apr-2026</v>
      </c>
      <c r="C105">
        <v>6</v>
      </c>
      <c r="D105">
        <v>21</v>
      </c>
      <c r="E105">
        <v>5</v>
      </c>
      <c r="F105" s="1">
        <v>2111</v>
      </c>
      <c r="G105">
        <v>14</v>
      </c>
      <c r="H105">
        <f t="shared" si="6"/>
        <v>0.23809523809523808</v>
      </c>
      <c r="I105">
        <f t="shared" si="7"/>
        <v>6.631927996210327E-3</v>
      </c>
      <c r="J105">
        <f t="shared" si="8"/>
        <v>-8</v>
      </c>
      <c r="K105" t="str">
        <f t="shared" si="9"/>
        <v>Apr-2026</v>
      </c>
    </row>
    <row r="106" spans="1:11" x14ac:dyDescent="0.3">
      <c r="A106" s="3">
        <v>46116</v>
      </c>
      <c r="B106" s="2" t="str">
        <f t="shared" si="5"/>
        <v>Apr-2026</v>
      </c>
      <c r="C106">
        <v>5</v>
      </c>
      <c r="D106">
        <v>13</v>
      </c>
      <c r="E106">
        <v>3</v>
      </c>
      <c r="F106" s="1">
        <v>2117</v>
      </c>
      <c r="G106">
        <v>16</v>
      </c>
      <c r="H106">
        <f t="shared" si="6"/>
        <v>0.23076923076923078</v>
      </c>
      <c r="I106">
        <f t="shared" si="7"/>
        <v>7.5578649031648563E-3</v>
      </c>
      <c r="J106">
        <f t="shared" si="8"/>
        <v>-11</v>
      </c>
      <c r="K106" t="str">
        <f t="shared" si="9"/>
        <v>Apr-2026</v>
      </c>
    </row>
    <row r="107" spans="1:11" x14ac:dyDescent="0.3">
      <c r="A107" s="3">
        <v>46117</v>
      </c>
      <c r="B107" s="2" t="str">
        <f t="shared" si="5"/>
        <v>Apr-2026</v>
      </c>
      <c r="C107">
        <v>4</v>
      </c>
      <c r="D107">
        <v>18</v>
      </c>
      <c r="E107">
        <v>7</v>
      </c>
      <c r="F107" s="1">
        <v>2121</v>
      </c>
      <c r="G107">
        <v>16</v>
      </c>
      <c r="H107">
        <f t="shared" si="6"/>
        <v>0.3888888888888889</v>
      </c>
      <c r="I107">
        <f t="shared" si="7"/>
        <v>7.5436115040075436E-3</v>
      </c>
      <c r="J107">
        <f t="shared" si="8"/>
        <v>-12</v>
      </c>
      <c r="K107" t="str">
        <f t="shared" si="9"/>
        <v>Apr-2026</v>
      </c>
    </row>
    <row r="108" spans="1:11" x14ac:dyDescent="0.3">
      <c r="A108" s="3">
        <v>46118</v>
      </c>
      <c r="B108" s="2" t="str">
        <f t="shared" si="5"/>
        <v>Apr-2026</v>
      </c>
      <c r="C108">
        <v>3</v>
      </c>
      <c r="D108">
        <v>16</v>
      </c>
      <c r="E108">
        <v>2</v>
      </c>
      <c r="F108" s="1">
        <v>2153</v>
      </c>
      <c r="G108">
        <v>17</v>
      </c>
      <c r="H108">
        <f t="shared" si="6"/>
        <v>0.125</v>
      </c>
      <c r="I108">
        <f t="shared" si="7"/>
        <v>7.8959591267998147E-3</v>
      </c>
      <c r="J108">
        <f t="shared" si="8"/>
        <v>-14</v>
      </c>
      <c r="K108" t="str">
        <f t="shared" si="9"/>
        <v>Apr-2026</v>
      </c>
    </row>
    <row r="109" spans="1:11" x14ac:dyDescent="0.3">
      <c r="A109" s="3">
        <v>46119</v>
      </c>
      <c r="B109" s="2" t="str">
        <f t="shared" si="5"/>
        <v>Apr-2026</v>
      </c>
      <c r="C109">
        <v>1</v>
      </c>
      <c r="D109">
        <v>9</v>
      </c>
      <c r="E109">
        <v>0</v>
      </c>
      <c r="F109" s="1">
        <v>2164</v>
      </c>
      <c r="G109">
        <v>11</v>
      </c>
      <c r="H109">
        <f t="shared" si="6"/>
        <v>0</v>
      </c>
      <c r="I109">
        <f t="shared" si="7"/>
        <v>5.0831792975970427E-3</v>
      </c>
      <c r="J109">
        <f t="shared" si="8"/>
        <v>-10</v>
      </c>
      <c r="K109" t="str">
        <f t="shared" si="9"/>
        <v>Apr-2026</v>
      </c>
    </row>
    <row r="110" spans="1:11" x14ac:dyDescent="0.3">
      <c r="A110" s="3">
        <v>46120</v>
      </c>
      <c r="B110" s="2" t="str">
        <f t="shared" si="5"/>
        <v>Apr-2026</v>
      </c>
      <c r="C110">
        <v>0</v>
      </c>
      <c r="D110">
        <v>8</v>
      </c>
      <c r="E110">
        <v>5</v>
      </c>
      <c r="F110" s="1">
        <v>2171</v>
      </c>
      <c r="G110">
        <v>17</v>
      </c>
      <c r="H110">
        <f t="shared" si="6"/>
        <v>0.625</v>
      </c>
      <c r="I110">
        <f t="shared" si="7"/>
        <v>7.8304928604329797E-3</v>
      </c>
      <c r="J110">
        <f t="shared" si="8"/>
        <v>-17</v>
      </c>
      <c r="K110" t="str">
        <f t="shared" si="9"/>
        <v>Apr-2026</v>
      </c>
    </row>
    <row r="111" spans="1:11" x14ac:dyDescent="0.3">
      <c r="A111" s="3">
        <v>46121</v>
      </c>
      <c r="B111" s="2" t="str">
        <f t="shared" si="5"/>
        <v>Apr-2026</v>
      </c>
      <c r="C111">
        <v>2</v>
      </c>
      <c r="D111">
        <v>9</v>
      </c>
      <c r="E111">
        <v>1</v>
      </c>
      <c r="F111" s="1">
        <v>2181</v>
      </c>
      <c r="G111">
        <v>26</v>
      </c>
      <c r="H111">
        <f t="shared" si="6"/>
        <v>0.1111111111111111</v>
      </c>
      <c r="I111">
        <f t="shared" si="7"/>
        <v>1.1921137093076571E-2</v>
      </c>
      <c r="J111">
        <f t="shared" si="8"/>
        <v>-24</v>
      </c>
      <c r="K111" t="str">
        <f t="shared" si="9"/>
        <v>Apr-2026</v>
      </c>
    </row>
    <row r="112" spans="1:11" x14ac:dyDescent="0.3">
      <c r="A112" s="3">
        <v>46122</v>
      </c>
      <c r="B112" s="2" t="str">
        <f t="shared" si="5"/>
        <v>Apr-2026</v>
      </c>
      <c r="C112">
        <v>1</v>
      </c>
      <c r="D112">
        <v>13</v>
      </c>
      <c r="E112">
        <v>4</v>
      </c>
      <c r="F112" s="1">
        <v>2204</v>
      </c>
      <c r="G112">
        <v>10</v>
      </c>
      <c r="H112">
        <f t="shared" si="6"/>
        <v>0.30769230769230771</v>
      </c>
      <c r="I112">
        <f t="shared" si="7"/>
        <v>4.5372050816696917E-3</v>
      </c>
      <c r="J112">
        <f t="shared" si="8"/>
        <v>-9</v>
      </c>
      <c r="K112" t="str">
        <f t="shared" si="9"/>
        <v>Apr-2026</v>
      </c>
    </row>
    <row r="113" spans="1:11" x14ac:dyDescent="0.3">
      <c r="A113" s="3">
        <v>46123</v>
      </c>
      <c r="B113" s="2" t="str">
        <f t="shared" si="5"/>
        <v>Apr-2026</v>
      </c>
      <c r="C113">
        <v>2</v>
      </c>
      <c r="D113">
        <v>12</v>
      </c>
      <c r="E113">
        <v>3</v>
      </c>
      <c r="F113" s="1">
        <v>2252</v>
      </c>
      <c r="G113">
        <v>39</v>
      </c>
      <c r="H113">
        <f t="shared" si="6"/>
        <v>0.25</v>
      </c>
      <c r="I113">
        <f t="shared" si="7"/>
        <v>1.7317939609236235E-2</v>
      </c>
      <c r="J113">
        <f t="shared" si="8"/>
        <v>-37</v>
      </c>
      <c r="K113" t="str">
        <f t="shared" si="9"/>
        <v>Apr-2026</v>
      </c>
    </row>
    <row r="114" spans="1:11" x14ac:dyDescent="0.3">
      <c r="A114" s="3">
        <v>46124</v>
      </c>
      <c r="B114" s="2" t="str">
        <f t="shared" si="5"/>
        <v>Apr-2026</v>
      </c>
      <c r="C114">
        <v>2</v>
      </c>
      <c r="D114">
        <v>18</v>
      </c>
      <c r="E114">
        <v>0</v>
      </c>
      <c r="F114" s="1">
        <v>2281</v>
      </c>
      <c r="G114">
        <v>32</v>
      </c>
      <c r="H114">
        <f t="shared" si="6"/>
        <v>0</v>
      </c>
      <c r="I114">
        <f t="shared" si="7"/>
        <v>1.4028934677772907E-2</v>
      </c>
      <c r="J114">
        <f t="shared" si="8"/>
        <v>-30</v>
      </c>
      <c r="K114" t="str">
        <f t="shared" si="9"/>
        <v>Apr-2026</v>
      </c>
    </row>
    <row r="115" spans="1:11" x14ac:dyDescent="0.3">
      <c r="A115" s="3">
        <v>46125</v>
      </c>
      <c r="B115" s="2" t="str">
        <f t="shared" si="5"/>
        <v>Apr-2026</v>
      </c>
      <c r="C115">
        <v>5</v>
      </c>
      <c r="D115">
        <v>16</v>
      </c>
      <c r="E115">
        <v>8</v>
      </c>
      <c r="F115" s="1">
        <v>2306</v>
      </c>
      <c r="G115">
        <v>20</v>
      </c>
      <c r="H115">
        <f t="shared" si="6"/>
        <v>0.5</v>
      </c>
      <c r="I115">
        <f t="shared" si="7"/>
        <v>8.6730268863833473E-3</v>
      </c>
      <c r="J115">
        <f t="shared" si="8"/>
        <v>-15</v>
      </c>
      <c r="K115" t="str">
        <f t="shared" si="9"/>
        <v>Apr-2026</v>
      </c>
    </row>
    <row r="116" spans="1:11" x14ac:dyDescent="0.3">
      <c r="A116" s="3">
        <v>46126</v>
      </c>
      <c r="B116" s="2" t="str">
        <f t="shared" si="5"/>
        <v>Apr-2026</v>
      </c>
      <c r="C116">
        <v>3</v>
      </c>
      <c r="D116">
        <v>18</v>
      </c>
      <c r="E116">
        <v>8</v>
      </c>
      <c r="F116" s="1">
        <v>2317</v>
      </c>
      <c r="G116">
        <v>20</v>
      </c>
      <c r="H116">
        <f t="shared" si="6"/>
        <v>0.44444444444444442</v>
      </c>
      <c r="I116">
        <f t="shared" si="7"/>
        <v>8.6318515321536469E-3</v>
      </c>
      <c r="J116">
        <f t="shared" si="8"/>
        <v>-17</v>
      </c>
      <c r="K116" t="str">
        <f t="shared" si="9"/>
        <v>Apr-2026</v>
      </c>
    </row>
    <row r="117" spans="1:11" x14ac:dyDescent="0.3">
      <c r="A117" s="3">
        <v>46127</v>
      </c>
      <c r="B117" s="2" t="str">
        <f t="shared" si="5"/>
        <v>Apr-2026</v>
      </c>
      <c r="C117">
        <v>4</v>
      </c>
      <c r="D117">
        <v>17</v>
      </c>
      <c r="E117">
        <v>2</v>
      </c>
      <c r="F117" s="1">
        <v>2332</v>
      </c>
      <c r="G117">
        <v>8</v>
      </c>
      <c r="H117">
        <f t="shared" si="6"/>
        <v>0.11764705882352941</v>
      </c>
      <c r="I117">
        <f t="shared" si="7"/>
        <v>3.4305317324185248E-3</v>
      </c>
      <c r="J117">
        <f t="shared" si="8"/>
        <v>-4</v>
      </c>
      <c r="K117" t="str">
        <f t="shared" si="9"/>
        <v>Apr-2026</v>
      </c>
    </row>
    <row r="118" spans="1:11" x14ac:dyDescent="0.3">
      <c r="A118" s="3">
        <v>46128</v>
      </c>
      <c r="B118" s="2" t="str">
        <f t="shared" si="5"/>
        <v>Apr-2026</v>
      </c>
      <c r="C118">
        <v>8</v>
      </c>
      <c r="D118">
        <v>20</v>
      </c>
      <c r="E118">
        <v>9</v>
      </c>
      <c r="F118" s="1">
        <v>2373</v>
      </c>
      <c r="G118">
        <v>38</v>
      </c>
      <c r="H118">
        <f t="shared" si="6"/>
        <v>0.45</v>
      </c>
      <c r="I118">
        <f t="shared" si="7"/>
        <v>1.6013485040033713E-2</v>
      </c>
      <c r="J118">
        <f t="shared" si="8"/>
        <v>-30</v>
      </c>
      <c r="K118" t="str">
        <f t="shared" si="9"/>
        <v>Apr-2026</v>
      </c>
    </row>
    <row r="119" spans="1:11" x14ac:dyDescent="0.3">
      <c r="A119" s="3">
        <v>46129</v>
      </c>
      <c r="B119" s="2" t="str">
        <f t="shared" si="5"/>
        <v>Apr-2026</v>
      </c>
      <c r="C119">
        <v>7</v>
      </c>
      <c r="D119">
        <v>14</v>
      </c>
      <c r="E119">
        <v>6</v>
      </c>
      <c r="F119" s="1">
        <v>2391</v>
      </c>
      <c r="G119">
        <v>22</v>
      </c>
      <c r="H119">
        <f t="shared" si="6"/>
        <v>0.42857142857142855</v>
      </c>
      <c r="I119">
        <f t="shared" si="7"/>
        <v>9.2011710581346717E-3</v>
      </c>
      <c r="J119">
        <f t="shared" si="8"/>
        <v>-15</v>
      </c>
      <c r="K119" t="str">
        <f t="shared" si="9"/>
        <v>Apr-2026</v>
      </c>
    </row>
    <row r="120" spans="1:11" x14ac:dyDescent="0.3">
      <c r="A120" s="3">
        <v>46130</v>
      </c>
      <c r="B120" s="2" t="str">
        <f t="shared" si="5"/>
        <v>Apr-2026</v>
      </c>
      <c r="C120">
        <v>9</v>
      </c>
      <c r="D120">
        <v>22</v>
      </c>
      <c r="E120">
        <v>8</v>
      </c>
      <c r="F120" s="1">
        <v>2407</v>
      </c>
      <c r="G120">
        <v>16</v>
      </c>
      <c r="H120">
        <f t="shared" si="6"/>
        <v>0.36363636363636365</v>
      </c>
      <c r="I120">
        <f t="shared" si="7"/>
        <v>6.6472787702534274E-3</v>
      </c>
      <c r="J120">
        <f t="shared" si="8"/>
        <v>-7</v>
      </c>
      <c r="K120" t="str">
        <f t="shared" si="9"/>
        <v>Apr-2026</v>
      </c>
    </row>
    <row r="121" spans="1:11" x14ac:dyDescent="0.3">
      <c r="A121" s="3">
        <v>46131</v>
      </c>
      <c r="B121" s="2" t="str">
        <f t="shared" si="5"/>
        <v>Apr-2026</v>
      </c>
      <c r="C121">
        <v>5</v>
      </c>
      <c r="D121">
        <v>17</v>
      </c>
      <c r="E121">
        <v>7</v>
      </c>
      <c r="F121" s="1">
        <v>2413</v>
      </c>
      <c r="G121">
        <v>20</v>
      </c>
      <c r="H121">
        <f t="shared" si="6"/>
        <v>0.41176470588235292</v>
      </c>
      <c r="I121">
        <f t="shared" si="7"/>
        <v>8.2884376295068382E-3</v>
      </c>
      <c r="J121">
        <f t="shared" si="8"/>
        <v>-15</v>
      </c>
      <c r="K121" t="str">
        <f t="shared" si="9"/>
        <v>Apr-2026</v>
      </c>
    </row>
    <row r="122" spans="1:11" x14ac:dyDescent="0.3">
      <c r="A122" s="3">
        <v>46132</v>
      </c>
      <c r="B122" s="2" t="str">
        <f t="shared" si="5"/>
        <v>Apr-2026</v>
      </c>
      <c r="C122">
        <v>3</v>
      </c>
      <c r="D122">
        <v>9</v>
      </c>
      <c r="E122">
        <v>7</v>
      </c>
      <c r="F122" s="1">
        <v>2447</v>
      </c>
      <c r="G122">
        <v>35</v>
      </c>
      <c r="H122">
        <f t="shared" si="6"/>
        <v>0.77777777777777779</v>
      </c>
      <c r="I122">
        <f t="shared" si="7"/>
        <v>1.4303228442991417E-2</v>
      </c>
      <c r="J122">
        <f t="shared" si="8"/>
        <v>-32</v>
      </c>
      <c r="K122" t="str">
        <f t="shared" si="9"/>
        <v>Apr-2026</v>
      </c>
    </row>
    <row r="123" spans="1:11" x14ac:dyDescent="0.3">
      <c r="A123" s="3">
        <v>46133</v>
      </c>
      <c r="B123" s="2" t="str">
        <f t="shared" si="5"/>
        <v>Apr-2026</v>
      </c>
      <c r="C123">
        <v>6</v>
      </c>
      <c r="D123">
        <v>12</v>
      </c>
      <c r="E123">
        <v>2</v>
      </c>
      <c r="F123" s="1">
        <v>2470</v>
      </c>
      <c r="G123">
        <v>24</v>
      </c>
      <c r="H123">
        <f t="shared" si="6"/>
        <v>0.16666666666666666</v>
      </c>
      <c r="I123">
        <f t="shared" si="7"/>
        <v>9.7165991902834013E-3</v>
      </c>
      <c r="J123">
        <f t="shared" si="8"/>
        <v>-18</v>
      </c>
      <c r="K123" t="str">
        <f t="shared" si="9"/>
        <v>Apr-2026</v>
      </c>
    </row>
    <row r="124" spans="1:11" x14ac:dyDescent="0.3">
      <c r="A124" s="3">
        <v>46134</v>
      </c>
      <c r="B124" s="2" t="str">
        <f t="shared" si="5"/>
        <v>Apr-2026</v>
      </c>
      <c r="C124">
        <v>5</v>
      </c>
      <c r="D124">
        <v>20</v>
      </c>
      <c r="E124">
        <v>5</v>
      </c>
      <c r="F124" s="1">
        <v>2489</v>
      </c>
      <c r="G124">
        <v>16</v>
      </c>
      <c r="H124">
        <f t="shared" si="6"/>
        <v>0.25</v>
      </c>
      <c r="I124">
        <f t="shared" si="7"/>
        <v>6.4282844515869825E-3</v>
      </c>
      <c r="J124">
        <f t="shared" si="8"/>
        <v>-11</v>
      </c>
      <c r="K124" t="str">
        <f t="shared" si="9"/>
        <v>Apr-2026</v>
      </c>
    </row>
    <row r="125" spans="1:11" x14ac:dyDescent="0.3">
      <c r="A125" s="3">
        <v>46135</v>
      </c>
      <c r="B125" s="2" t="str">
        <f t="shared" si="5"/>
        <v>Apr-2026</v>
      </c>
      <c r="C125">
        <v>3</v>
      </c>
      <c r="D125">
        <v>15</v>
      </c>
      <c r="E125">
        <v>5</v>
      </c>
      <c r="F125" s="1">
        <v>2495</v>
      </c>
      <c r="G125">
        <v>17</v>
      </c>
      <c r="H125">
        <f t="shared" si="6"/>
        <v>0.33333333333333331</v>
      </c>
      <c r="I125">
        <f t="shared" si="7"/>
        <v>6.8136272545090181E-3</v>
      </c>
      <c r="J125">
        <f t="shared" si="8"/>
        <v>-14</v>
      </c>
      <c r="K125" t="str">
        <f t="shared" si="9"/>
        <v>Apr-2026</v>
      </c>
    </row>
    <row r="126" spans="1:11" x14ac:dyDescent="0.3">
      <c r="A126" s="3">
        <v>46136</v>
      </c>
      <c r="B126" s="2" t="str">
        <f t="shared" si="5"/>
        <v>Apr-2026</v>
      </c>
      <c r="C126">
        <v>7</v>
      </c>
      <c r="D126">
        <v>13</v>
      </c>
      <c r="E126">
        <v>5</v>
      </c>
      <c r="F126" s="1">
        <v>2508</v>
      </c>
      <c r="G126">
        <v>7</v>
      </c>
      <c r="H126">
        <f t="shared" si="6"/>
        <v>0.38461538461538464</v>
      </c>
      <c r="I126">
        <f t="shared" si="7"/>
        <v>2.7910685805422647E-3</v>
      </c>
      <c r="J126">
        <f t="shared" si="8"/>
        <v>0</v>
      </c>
      <c r="K126" t="str">
        <f t="shared" si="9"/>
        <v>Apr-2026</v>
      </c>
    </row>
    <row r="127" spans="1:11" x14ac:dyDescent="0.3">
      <c r="A127" s="3">
        <v>46137</v>
      </c>
      <c r="B127" s="2" t="str">
        <f t="shared" si="5"/>
        <v>Apr-2026</v>
      </c>
      <c r="C127">
        <v>8</v>
      </c>
      <c r="D127">
        <v>19</v>
      </c>
      <c r="E127">
        <v>7</v>
      </c>
      <c r="F127" s="1">
        <v>2501</v>
      </c>
      <c r="G127">
        <v>18</v>
      </c>
      <c r="H127">
        <f t="shared" si="6"/>
        <v>0.36842105263157893</v>
      </c>
      <c r="I127">
        <f t="shared" si="7"/>
        <v>7.1971211515393842E-3</v>
      </c>
      <c r="J127">
        <f t="shared" si="8"/>
        <v>-10</v>
      </c>
      <c r="K127" t="str">
        <f t="shared" si="9"/>
        <v>Apr-2026</v>
      </c>
    </row>
    <row r="128" spans="1:11" x14ac:dyDescent="0.3">
      <c r="A128" s="3">
        <v>46138</v>
      </c>
      <c r="B128" s="2" t="str">
        <f t="shared" si="5"/>
        <v>Apr-2026</v>
      </c>
      <c r="C128">
        <v>7</v>
      </c>
      <c r="D128">
        <v>24</v>
      </c>
      <c r="E128">
        <v>10</v>
      </c>
      <c r="F128" s="1">
        <v>2523</v>
      </c>
      <c r="G128">
        <v>14</v>
      </c>
      <c r="H128">
        <f t="shared" si="6"/>
        <v>0.41666666666666669</v>
      </c>
      <c r="I128">
        <f t="shared" si="7"/>
        <v>5.5489496630994851E-3</v>
      </c>
      <c r="J128">
        <f t="shared" si="8"/>
        <v>-7</v>
      </c>
      <c r="K128" t="str">
        <f t="shared" si="9"/>
        <v>Apr-2026</v>
      </c>
    </row>
    <row r="129" spans="1:11" x14ac:dyDescent="0.3">
      <c r="A129" s="3">
        <v>46139</v>
      </c>
      <c r="B129" s="2" t="str">
        <f t="shared" si="5"/>
        <v>Apr-2026</v>
      </c>
      <c r="C129">
        <v>17</v>
      </c>
      <c r="D129">
        <v>28</v>
      </c>
      <c r="E129">
        <v>7</v>
      </c>
      <c r="F129" s="1">
        <v>2511</v>
      </c>
      <c r="G129">
        <v>12</v>
      </c>
      <c r="H129">
        <f t="shared" si="6"/>
        <v>0.25</v>
      </c>
      <c r="I129">
        <f t="shared" si="7"/>
        <v>4.7789725209080045E-3</v>
      </c>
      <c r="J129">
        <f t="shared" si="8"/>
        <v>5</v>
      </c>
      <c r="K129" t="str">
        <f t="shared" si="9"/>
        <v>Apr-2026</v>
      </c>
    </row>
    <row r="130" spans="1:11" x14ac:dyDescent="0.3">
      <c r="A130" s="3">
        <v>46140</v>
      </c>
      <c r="B130" s="2" t="str">
        <f t="shared" si="5"/>
        <v>Apr-2026</v>
      </c>
      <c r="C130">
        <v>8</v>
      </c>
      <c r="D130">
        <v>21</v>
      </c>
      <c r="E130">
        <v>14</v>
      </c>
      <c r="F130" s="1">
        <v>2516</v>
      </c>
      <c r="G130">
        <v>9</v>
      </c>
      <c r="H130">
        <f t="shared" si="6"/>
        <v>0.66666666666666663</v>
      </c>
      <c r="I130">
        <f t="shared" si="7"/>
        <v>3.577106518282989E-3</v>
      </c>
      <c r="J130">
        <f t="shared" si="8"/>
        <v>-1</v>
      </c>
      <c r="K130" t="str">
        <f t="shared" si="9"/>
        <v>Apr-2026</v>
      </c>
    </row>
    <row r="131" spans="1:11" x14ac:dyDescent="0.3">
      <c r="A131" s="3">
        <v>46141</v>
      </c>
      <c r="B131" s="2" t="str">
        <f t="shared" ref="B131:B194" si="10">TEXT(A131,"mmm-yyyy")</f>
        <v>Apr-2026</v>
      </c>
      <c r="C131">
        <v>10</v>
      </c>
      <c r="D131">
        <v>16</v>
      </c>
      <c r="E131">
        <v>15</v>
      </c>
      <c r="F131" s="1">
        <v>2507</v>
      </c>
      <c r="G131">
        <v>13</v>
      </c>
      <c r="H131">
        <f t="shared" ref="H131:H194" si="11">E131/D131</f>
        <v>0.9375</v>
      </c>
      <c r="I131">
        <f t="shared" ref="I131:I194" si="12">G131/F131</f>
        <v>5.185480654168329E-3</v>
      </c>
      <c r="J131">
        <f t="shared" ref="J131:J194" si="13">C131-G131</f>
        <v>-3</v>
      </c>
      <c r="K131" t="str">
        <f t="shared" ref="K131:K194" si="14">TEXT(A131,"mmm-yyyy")</f>
        <v>Apr-2026</v>
      </c>
    </row>
    <row r="132" spans="1:11" x14ac:dyDescent="0.3">
      <c r="A132" s="3">
        <v>46142</v>
      </c>
      <c r="B132" s="2" t="str">
        <f t="shared" si="10"/>
        <v>Apr-2026</v>
      </c>
      <c r="C132">
        <v>8</v>
      </c>
      <c r="D132">
        <v>26</v>
      </c>
      <c r="E132">
        <v>5</v>
      </c>
      <c r="F132" s="1">
        <v>2503</v>
      </c>
      <c r="G132">
        <v>21</v>
      </c>
      <c r="H132">
        <f t="shared" si="11"/>
        <v>0.19230769230769232</v>
      </c>
      <c r="I132">
        <f t="shared" si="12"/>
        <v>8.3899320815021966E-3</v>
      </c>
      <c r="J132">
        <f t="shared" si="13"/>
        <v>-13</v>
      </c>
      <c r="K132" t="str">
        <f t="shared" si="14"/>
        <v>Apr-2026</v>
      </c>
    </row>
    <row r="133" spans="1:11" x14ac:dyDescent="0.3">
      <c r="A133" s="3">
        <v>46143</v>
      </c>
      <c r="B133" s="2" t="str">
        <f t="shared" si="10"/>
        <v>May-2026</v>
      </c>
      <c r="C133">
        <v>4</v>
      </c>
      <c r="D133">
        <v>16</v>
      </c>
      <c r="E133">
        <v>9</v>
      </c>
      <c r="F133" s="1">
        <v>2516</v>
      </c>
      <c r="G133">
        <v>16</v>
      </c>
      <c r="H133">
        <f t="shared" si="11"/>
        <v>0.5625</v>
      </c>
      <c r="I133">
        <f t="shared" si="12"/>
        <v>6.3593004769475362E-3</v>
      </c>
      <c r="J133">
        <f t="shared" si="13"/>
        <v>-12</v>
      </c>
      <c r="K133" t="str">
        <f t="shared" si="14"/>
        <v>May-2026</v>
      </c>
    </row>
    <row r="134" spans="1:11" x14ac:dyDescent="0.3">
      <c r="A134" s="3">
        <v>46144</v>
      </c>
      <c r="B134" s="2" t="str">
        <f t="shared" si="10"/>
        <v>May-2026</v>
      </c>
      <c r="C134">
        <v>5</v>
      </c>
      <c r="D134">
        <v>23</v>
      </c>
      <c r="E134">
        <v>11</v>
      </c>
      <c r="F134" s="1">
        <v>2519</v>
      </c>
      <c r="G134">
        <v>15</v>
      </c>
      <c r="H134">
        <f t="shared" si="11"/>
        <v>0.47826086956521741</v>
      </c>
      <c r="I134">
        <f t="shared" si="12"/>
        <v>5.9547439460103215E-3</v>
      </c>
      <c r="J134">
        <f t="shared" si="13"/>
        <v>-10</v>
      </c>
      <c r="K134" t="str">
        <f t="shared" si="14"/>
        <v>May-2026</v>
      </c>
    </row>
    <row r="135" spans="1:11" x14ac:dyDescent="0.3">
      <c r="A135" s="3">
        <v>46145</v>
      </c>
      <c r="B135" s="2" t="str">
        <f t="shared" si="10"/>
        <v>May-2026</v>
      </c>
      <c r="C135">
        <v>10</v>
      </c>
      <c r="D135">
        <v>19</v>
      </c>
      <c r="E135">
        <v>5</v>
      </c>
      <c r="F135" s="1">
        <v>2518</v>
      </c>
      <c r="G135">
        <v>16</v>
      </c>
      <c r="H135">
        <f t="shared" si="11"/>
        <v>0.26315789473684209</v>
      </c>
      <c r="I135">
        <f t="shared" si="12"/>
        <v>6.354249404289118E-3</v>
      </c>
      <c r="J135">
        <f t="shared" si="13"/>
        <v>-6</v>
      </c>
      <c r="K135" t="str">
        <f t="shared" si="14"/>
        <v>May-2026</v>
      </c>
    </row>
    <row r="136" spans="1:11" x14ac:dyDescent="0.3">
      <c r="A136" s="3">
        <v>46146</v>
      </c>
      <c r="B136" s="2" t="str">
        <f t="shared" si="10"/>
        <v>May-2026</v>
      </c>
      <c r="C136">
        <v>8</v>
      </c>
      <c r="D136">
        <v>24</v>
      </c>
      <c r="E136">
        <v>16</v>
      </c>
      <c r="F136" s="1">
        <v>2528</v>
      </c>
      <c r="G136">
        <v>12</v>
      </c>
      <c r="H136">
        <f t="shared" si="11"/>
        <v>0.66666666666666663</v>
      </c>
      <c r="I136">
        <f t="shared" si="12"/>
        <v>4.7468354430379748E-3</v>
      </c>
      <c r="J136">
        <f t="shared" si="13"/>
        <v>-4</v>
      </c>
      <c r="K136" t="str">
        <f t="shared" si="14"/>
        <v>May-2026</v>
      </c>
    </row>
    <row r="137" spans="1:11" x14ac:dyDescent="0.3">
      <c r="A137" s="3">
        <v>46147</v>
      </c>
      <c r="B137" s="2" t="str">
        <f t="shared" si="10"/>
        <v>May-2026</v>
      </c>
      <c r="C137">
        <v>13</v>
      </c>
      <c r="D137">
        <v>38</v>
      </c>
      <c r="E137">
        <v>15</v>
      </c>
      <c r="F137" s="1">
        <v>2506</v>
      </c>
      <c r="G137">
        <v>11</v>
      </c>
      <c r="H137">
        <f t="shared" si="11"/>
        <v>0.39473684210526316</v>
      </c>
      <c r="I137">
        <f t="shared" si="12"/>
        <v>4.3894652833200319E-3</v>
      </c>
      <c r="J137">
        <f t="shared" si="13"/>
        <v>2</v>
      </c>
      <c r="K137" t="str">
        <f t="shared" si="14"/>
        <v>May-2026</v>
      </c>
    </row>
    <row r="138" spans="1:11" x14ac:dyDescent="0.3">
      <c r="A138" s="3">
        <v>46148</v>
      </c>
      <c r="B138" s="2" t="str">
        <f t="shared" si="10"/>
        <v>May-2026</v>
      </c>
      <c r="C138">
        <v>12</v>
      </c>
      <c r="D138">
        <v>39</v>
      </c>
      <c r="E138">
        <v>12</v>
      </c>
      <c r="F138" s="1">
        <v>2499</v>
      </c>
      <c r="G138">
        <v>14</v>
      </c>
      <c r="H138">
        <f t="shared" si="11"/>
        <v>0.30769230769230771</v>
      </c>
      <c r="I138">
        <f t="shared" si="12"/>
        <v>5.6022408963585435E-3</v>
      </c>
      <c r="J138">
        <f t="shared" si="13"/>
        <v>-2</v>
      </c>
      <c r="K138" t="str">
        <f t="shared" si="14"/>
        <v>May-2026</v>
      </c>
    </row>
    <row r="139" spans="1:11" x14ac:dyDescent="0.3">
      <c r="A139" s="3">
        <v>46149</v>
      </c>
      <c r="B139" s="2" t="str">
        <f t="shared" si="10"/>
        <v>May-2026</v>
      </c>
      <c r="C139">
        <v>6</v>
      </c>
      <c r="D139">
        <v>24</v>
      </c>
      <c r="E139">
        <v>7</v>
      </c>
      <c r="F139" s="1">
        <v>2504</v>
      </c>
      <c r="G139">
        <v>11</v>
      </c>
      <c r="H139">
        <f t="shared" si="11"/>
        <v>0.29166666666666669</v>
      </c>
      <c r="I139">
        <f t="shared" si="12"/>
        <v>4.3929712460063896E-3</v>
      </c>
      <c r="J139">
        <f t="shared" si="13"/>
        <v>-5</v>
      </c>
      <c r="K139" t="str">
        <f t="shared" si="14"/>
        <v>May-2026</v>
      </c>
    </row>
    <row r="140" spans="1:11" x14ac:dyDescent="0.3">
      <c r="A140" s="3">
        <v>46150</v>
      </c>
      <c r="B140" s="2" t="str">
        <f t="shared" si="10"/>
        <v>May-2026</v>
      </c>
      <c r="C140">
        <v>18</v>
      </c>
      <c r="D140">
        <v>36</v>
      </c>
      <c r="E140">
        <v>17</v>
      </c>
      <c r="F140" s="1">
        <v>2473</v>
      </c>
      <c r="G140">
        <v>15</v>
      </c>
      <c r="H140">
        <f t="shared" si="11"/>
        <v>0.47222222222222221</v>
      </c>
      <c r="I140">
        <f t="shared" si="12"/>
        <v>6.0655074807925598E-3</v>
      </c>
      <c r="J140">
        <f t="shared" si="13"/>
        <v>3</v>
      </c>
      <c r="K140" t="str">
        <f t="shared" si="14"/>
        <v>May-2026</v>
      </c>
    </row>
    <row r="141" spans="1:11" x14ac:dyDescent="0.3">
      <c r="A141" s="3">
        <v>46151</v>
      </c>
      <c r="B141" s="2" t="str">
        <f t="shared" si="10"/>
        <v>May-2026</v>
      </c>
      <c r="C141">
        <v>14</v>
      </c>
      <c r="D141">
        <v>62</v>
      </c>
      <c r="E141">
        <v>13</v>
      </c>
      <c r="F141" s="1">
        <v>2467</v>
      </c>
      <c r="G141">
        <v>18</v>
      </c>
      <c r="H141">
        <f t="shared" si="11"/>
        <v>0.20967741935483872</v>
      </c>
      <c r="I141">
        <f t="shared" si="12"/>
        <v>7.296311309282529E-3</v>
      </c>
      <c r="J141">
        <f t="shared" si="13"/>
        <v>-4</v>
      </c>
      <c r="K141" t="str">
        <f t="shared" si="14"/>
        <v>May-2026</v>
      </c>
    </row>
    <row r="142" spans="1:11" x14ac:dyDescent="0.3">
      <c r="A142" s="3">
        <v>46152</v>
      </c>
      <c r="B142" s="2" t="str">
        <f t="shared" si="10"/>
        <v>May-2026</v>
      </c>
      <c r="C142">
        <v>7</v>
      </c>
      <c r="D142">
        <v>27</v>
      </c>
      <c r="E142">
        <v>17</v>
      </c>
      <c r="F142" s="1">
        <v>2457</v>
      </c>
      <c r="G142">
        <v>6</v>
      </c>
      <c r="H142">
        <f t="shared" si="11"/>
        <v>0.62962962962962965</v>
      </c>
      <c r="I142">
        <f t="shared" si="12"/>
        <v>2.442002442002442E-3</v>
      </c>
      <c r="J142">
        <f t="shared" si="13"/>
        <v>1</v>
      </c>
      <c r="K142" t="str">
        <f t="shared" si="14"/>
        <v>May-2026</v>
      </c>
    </row>
    <row r="143" spans="1:11" x14ac:dyDescent="0.3">
      <c r="A143" s="3">
        <v>46153</v>
      </c>
      <c r="B143" s="2" t="str">
        <f t="shared" si="10"/>
        <v>May-2026</v>
      </c>
      <c r="C143">
        <v>13</v>
      </c>
      <c r="D143">
        <v>28</v>
      </c>
      <c r="E143">
        <v>14</v>
      </c>
      <c r="F143" s="1">
        <v>2437</v>
      </c>
      <c r="G143">
        <v>9</v>
      </c>
      <c r="H143">
        <f t="shared" si="11"/>
        <v>0.5</v>
      </c>
      <c r="I143">
        <f t="shared" si="12"/>
        <v>3.6930652441526466E-3</v>
      </c>
      <c r="J143">
        <f t="shared" si="13"/>
        <v>4</v>
      </c>
      <c r="K143" t="str">
        <f t="shared" si="14"/>
        <v>May-2026</v>
      </c>
    </row>
    <row r="144" spans="1:11" x14ac:dyDescent="0.3">
      <c r="A144" s="3">
        <v>46154</v>
      </c>
      <c r="B144" s="2" t="str">
        <f t="shared" si="10"/>
        <v>May-2026</v>
      </c>
      <c r="C144">
        <v>15</v>
      </c>
      <c r="D144">
        <v>31</v>
      </c>
      <c r="E144">
        <v>14</v>
      </c>
      <c r="F144" s="1">
        <v>2410</v>
      </c>
      <c r="G144">
        <v>14</v>
      </c>
      <c r="H144">
        <f t="shared" si="11"/>
        <v>0.45161290322580644</v>
      </c>
      <c r="I144">
        <f t="shared" si="12"/>
        <v>5.8091286307053944E-3</v>
      </c>
      <c r="J144">
        <f t="shared" si="13"/>
        <v>1</v>
      </c>
      <c r="K144" t="str">
        <f t="shared" si="14"/>
        <v>May-2026</v>
      </c>
    </row>
    <row r="145" spans="1:11" x14ac:dyDescent="0.3">
      <c r="A145" s="3">
        <v>46155</v>
      </c>
      <c r="B145" s="2" t="str">
        <f t="shared" si="10"/>
        <v>May-2026</v>
      </c>
      <c r="C145">
        <v>7</v>
      </c>
      <c r="D145">
        <v>30</v>
      </c>
      <c r="E145">
        <v>14</v>
      </c>
      <c r="F145" s="1">
        <v>2394</v>
      </c>
      <c r="G145">
        <v>11</v>
      </c>
      <c r="H145">
        <f t="shared" si="11"/>
        <v>0.46666666666666667</v>
      </c>
      <c r="I145">
        <f t="shared" si="12"/>
        <v>4.5948203842940682E-3</v>
      </c>
      <c r="J145">
        <f t="shared" si="13"/>
        <v>-4</v>
      </c>
      <c r="K145" t="str">
        <f t="shared" si="14"/>
        <v>May-2026</v>
      </c>
    </row>
    <row r="146" spans="1:11" x14ac:dyDescent="0.3">
      <c r="A146" s="3">
        <v>46156</v>
      </c>
      <c r="B146" s="2" t="str">
        <f t="shared" si="10"/>
        <v>May-2026</v>
      </c>
      <c r="C146">
        <v>18</v>
      </c>
      <c r="D146">
        <v>29</v>
      </c>
      <c r="E146">
        <v>12</v>
      </c>
      <c r="F146" s="1">
        <v>2394</v>
      </c>
      <c r="G146">
        <v>11</v>
      </c>
      <c r="H146">
        <f t="shared" si="11"/>
        <v>0.41379310344827586</v>
      </c>
      <c r="I146">
        <f t="shared" si="12"/>
        <v>4.5948203842940682E-3</v>
      </c>
      <c r="J146">
        <f t="shared" si="13"/>
        <v>7</v>
      </c>
      <c r="K146" t="str">
        <f t="shared" si="14"/>
        <v>May-2026</v>
      </c>
    </row>
    <row r="147" spans="1:11" x14ac:dyDescent="0.3">
      <c r="A147" s="3">
        <v>46157</v>
      </c>
      <c r="B147" s="2" t="str">
        <f t="shared" si="10"/>
        <v>May-2026</v>
      </c>
      <c r="C147">
        <v>7</v>
      </c>
      <c r="D147">
        <v>33</v>
      </c>
      <c r="E147">
        <v>14</v>
      </c>
      <c r="F147" s="1">
        <v>2392</v>
      </c>
      <c r="G147">
        <v>7</v>
      </c>
      <c r="H147">
        <f t="shared" si="11"/>
        <v>0.42424242424242425</v>
      </c>
      <c r="I147">
        <f t="shared" si="12"/>
        <v>2.926421404682274E-3</v>
      </c>
      <c r="J147">
        <f t="shared" si="13"/>
        <v>0</v>
      </c>
      <c r="K147" t="str">
        <f t="shared" si="14"/>
        <v>May-2026</v>
      </c>
    </row>
    <row r="148" spans="1:11" x14ac:dyDescent="0.3">
      <c r="A148" s="3">
        <v>46158</v>
      </c>
      <c r="B148" s="2" t="str">
        <f t="shared" si="10"/>
        <v>May-2026</v>
      </c>
      <c r="C148">
        <v>15</v>
      </c>
      <c r="D148">
        <v>20</v>
      </c>
      <c r="E148">
        <v>12</v>
      </c>
      <c r="F148" s="1">
        <v>2385</v>
      </c>
      <c r="G148">
        <v>3</v>
      </c>
      <c r="H148">
        <f t="shared" si="11"/>
        <v>0.6</v>
      </c>
      <c r="I148">
        <f t="shared" si="12"/>
        <v>1.2578616352201257E-3</v>
      </c>
      <c r="J148">
        <f t="shared" si="13"/>
        <v>12</v>
      </c>
      <c r="K148" t="str">
        <f t="shared" si="14"/>
        <v>May-2026</v>
      </c>
    </row>
    <row r="149" spans="1:11" x14ac:dyDescent="0.3">
      <c r="A149" s="3">
        <v>46159</v>
      </c>
      <c r="B149" s="2" t="str">
        <f t="shared" si="10"/>
        <v>May-2026</v>
      </c>
      <c r="C149">
        <v>15</v>
      </c>
      <c r="D149">
        <v>24</v>
      </c>
      <c r="E149">
        <v>16</v>
      </c>
      <c r="F149" s="1">
        <v>2361</v>
      </c>
      <c r="G149">
        <v>11</v>
      </c>
      <c r="H149">
        <f t="shared" si="11"/>
        <v>0.66666666666666663</v>
      </c>
      <c r="I149">
        <f t="shared" si="12"/>
        <v>4.6590427784836937E-3</v>
      </c>
      <c r="J149">
        <f t="shared" si="13"/>
        <v>4</v>
      </c>
      <c r="K149" t="str">
        <f t="shared" si="14"/>
        <v>May-2026</v>
      </c>
    </row>
    <row r="150" spans="1:11" x14ac:dyDescent="0.3">
      <c r="A150" s="3">
        <v>46160</v>
      </c>
      <c r="B150" s="2" t="str">
        <f t="shared" si="10"/>
        <v>May-2026</v>
      </c>
      <c r="C150">
        <v>10</v>
      </c>
      <c r="D150">
        <v>30</v>
      </c>
      <c r="E150">
        <v>15</v>
      </c>
      <c r="F150" s="1">
        <v>2335</v>
      </c>
      <c r="G150">
        <v>10</v>
      </c>
      <c r="H150">
        <f t="shared" si="11"/>
        <v>0.5</v>
      </c>
      <c r="I150">
        <f t="shared" si="12"/>
        <v>4.2826552462526769E-3</v>
      </c>
      <c r="J150">
        <f t="shared" si="13"/>
        <v>0</v>
      </c>
      <c r="K150" t="str">
        <f t="shared" si="14"/>
        <v>May-2026</v>
      </c>
    </row>
    <row r="151" spans="1:11" x14ac:dyDescent="0.3">
      <c r="A151" s="3">
        <v>46161</v>
      </c>
      <c r="B151" s="2" t="str">
        <f t="shared" si="10"/>
        <v>May-2026</v>
      </c>
      <c r="C151">
        <v>10</v>
      </c>
      <c r="D151">
        <v>33</v>
      </c>
      <c r="E151">
        <v>16</v>
      </c>
      <c r="F151" s="1">
        <v>2339</v>
      </c>
      <c r="G151">
        <v>16</v>
      </c>
      <c r="H151">
        <f t="shared" si="11"/>
        <v>0.48484848484848486</v>
      </c>
      <c r="I151">
        <f t="shared" si="12"/>
        <v>6.8405301410859338E-3</v>
      </c>
      <c r="J151">
        <f t="shared" si="13"/>
        <v>-6</v>
      </c>
      <c r="K151" t="str">
        <f t="shared" si="14"/>
        <v>May-2026</v>
      </c>
    </row>
    <row r="152" spans="1:11" x14ac:dyDescent="0.3">
      <c r="A152" s="3">
        <v>46162</v>
      </c>
      <c r="B152" s="2" t="str">
        <f t="shared" si="10"/>
        <v>May-2026</v>
      </c>
      <c r="C152">
        <v>15</v>
      </c>
      <c r="D152">
        <v>44</v>
      </c>
      <c r="E152">
        <v>20</v>
      </c>
      <c r="F152" s="1">
        <v>2331</v>
      </c>
      <c r="G152">
        <v>17</v>
      </c>
      <c r="H152">
        <f t="shared" si="11"/>
        <v>0.45454545454545453</v>
      </c>
      <c r="I152">
        <f t="shared" si="12"/>
        <v>7.2930072930072927E-3</v>
      </c>
      <c r="J152">
        <f t="shared" si="13"/>
        <v>-2</v>
      </c>
      <c r="K152" t="str">
        <f t="shared" si="14"/>
        <v>May-2026</v>
      </c>
    </row>
    <row r="153" spans="1:11" x14ac:dyDescent="0.3">
      <c r="A153" s="3">
        <v>46163</v>
      </c>
      <c r="B153" s="2" t="str">
        <f t="shared" si="10"/>
        <v>May-2026</v>
      </c>
      <c r="C153">
        <v>9</v>
      </c>
      <c r="D153">
        <v>31</v>
      </c>
      <c r="E153">
        <v>10</v>
      </c>
      <c r="F153" s="1">
        <v>2335</v>
      </c>
      <c r="G153">
        <v>5</v>
      </c>
      <c r="H153">
        <f t="shared" si="11"/>
        <v>0.32258064516129031</v>
      </c>
      <c r="I153">
        <f t="shared" si="12"/>
        <v>2.1413276231263384E-3</v>
      </c>
      <c r="J153">
        <f t="shared" si="13"/>
        <v>4</v>
      </c>
      <c r="K153" t="str">
        <f t="shared" si="14"/>
        <v>May-2026</v>
      </c>
    </row>
    <row r="154" spans="1:11" x14ac:dyDescent="0.3">
      <c r="A154" s="3">
        <v>46164</v>
      </c>
      <c r="B154" s="2" t="str">
        <f t="shared" si="10"/>
        <v>May-2026</v>
      </c>
      <c r="C154">
        <v>13</v>
      </c>
      <c r="D154">
        <v>32</v>
      </c>
      <c r="E154">
        <v>14</v>
      </c>
      <c r="F154" s="1">
        <v>2306</v>
      </c>
      <c r="G154">
        <v>16</v>
      </c>
      <c r="H154">
        <f t="shared" si="11"/>
        <v>0.4375</v>
      </c>
      <c r="I154">
        <f t="shared" si="12"/>
        <v>6.938421509106678E-3</v>
      </c>
      <c r="J154">
        <f t="shared" si="13"/>
        <v>-3</v>
      </c>
      <c r="K154" t="str">
        <f t="shared" si="14"/>
        <v>May-2026</v>
      </c>
    </row>
    <row r="155" spans="1:11" x14ac:dyDescent="0.3">
      <c r="A155" s="3">
        <v>46165</v>
      </c>
      <c r="B155" s="2" t="str">
        <f t="shared" si="10"/>
        <v>May-2026</v>
      </c>
      <c r="C155">
        <v>7</v>
      </c>
      <c r="D155">
        <v>34</v>
      </c>
      <c r="E155">
        <v>9</v>
      </c>
      <c r="F155" s="1">
        <v>2309</v>
      </c>
      <c r="G155">
        <v>12</v>
      </c>
      <c r="H155">
        <f t="shared" si="11"/>
        <v>0.26470588235294118</v>
      </c>
      <c r="I155">
        <f t="shared" si="12"/>
        <v>5.1970550021654396E-3</v>
      </c>
      <c r="J155">
        <f t="shared" si="13"/>
        <v>-5</v>
      </c>
      <c r="K155" t="str">
        <f t="shared" si="14"/>
        <v>May-2026</v>
      </c>
    </row>
    <row r="156" spans="1:11" x14ac:dyDescent="0.3">
      <c r="A156" s="3">
        <v>46166</v>
      </c>
      <c r="B156" s="2" t="str">
        <f t="shared" si="10"/>
        <v>May-2026</v>
      </c>
      <c r="C156">
        <v>11</v>
      </c>
      <c r="D156">
        <v>25</v>
      </c>
      <c r="E156">
        <v>11</v>
      </c>
      <c r="F156" s="1">
        <v>2304</v>
      </c>
      <c r="G156">
        <v>15</v>
      </c>
      <c r="H156">
        <f t="shared" si="11"/>
        <v>0.44</v>
      </c>
      <c r="I156">
        <f t="shared" si="12"/>
        <v>6.510416666666667E-3</v>
      </c>
      <c r="J156">
        <f t="shared" si="13"/>
        <v>-4</v>
      </c>
      <c r="K156" t="str">
        <f t="shared" si="14"/>
        <v>May-2026</v>
      </c>
    </row>
    <row r="157" spans="1:11" x14ac:dyDescent="0.3">
      <c r="A157" s="3">
        <v>46167</v>
      </c>
      <c r="B157" s="2" t="str">
        <f t="shared" si="10"/>
        <v>May-2026</v>
      </c>
      <c r="C157">
        <v>6</v>
      </c>
      <c r="D157">
        <v>26</v>
      </c>
      <c r="E157">
        <v>12</v>
      </c>
      <c r="F157" s="1">
        <v>2307</v>
      </c>
      <c r="G157">
        <v>8</v>
      </c>
      <c r="H157">
        <f t="shared" si="11"/>
        <v>0.46153846153846156</v>
      </c>
      <c r="I157">
        <f t="shared" si="12"/>
        <v>3.4677069787602947E-3</v>
      </c>
      <c r="J157">
        <f t="shared" si="13"/>
        <v>-2</v>
      </c>
      <c r="K157" t="str">
        <f t="shared" si="14"/>
        <v>May-2026</v>
      </c>
    </row>
    <row r="158" spans="1:11" x14ac:dyDescent="0.3">
      <c r="A158" s="3">
        <v>46168</v>
      </c>
      <c r="B158" s="2" t="str">
        <f t="shared" si="10"/>
        <v>May-2026</v>
      </c>
      <c r="C158">
        <v>9</v>
      </c>
      <c r="D158">
        <v>40</v>
      </c>
      <c r="E158">
        <v>12</v>
      </c>
      <c r="F158" s="1">
        <v>2301</v>
      </c>
      <c r="G158">
        <v>4</v>
      </c>
      <c r="H158">
        <f t="shared" si="11"/>
        <v>0.3</v>
      </c>
      <c r="I158">
        <f t="shared" si="12"/>
        <v>1.738374619730552E-3</v>
      </c>
      <c r="J158">
        <f t="shared" si="13"/>
        <v>5</v>
      </c>
      <c r="K158" t="str">
        <f t="shared" si="14"/>
        <v>May-2026</v>
      </c>
    </row>
    <row r="159" spans="1:11" x14ac:dyDescent="0.3">
      <c r="A159" s="3">
        <v>46169</v>
      </c>
      <c r="B159" s="2" t="str">
        <f t="shared" si="10"/>
        <v>May-2026</v>
      </c>
      <c r="C159">
        <v>3</v>
      </c>
      <c r="D159">
        <v>9</v>
      </c>
      <c r="E159">
        <v>7</v>
      </c>
      <c r="F159" s="1">
        <v>2294</v>
      </c>
      <c r="G159">
        <v>13</v>
      </c>
      <c r="H159">
        <f t="shared" si="11"/>
        <v>0.77777777777777779</v>
      </c>
      <c r="I159">
        <f t="shared" si="12"/>
        <v>5.6669572798605057E-3</v>
      </c>
      <c r="J159">
        <f t="shared" si="13"/>
        <v>-10</v>
      </c>
      <c r="K159" t="str">
        <f t="shared" si="14"/>
        <v>May-2026</v>
      </c>
    </row>
    <row r="160" spans="1:11" x14ac:dyDescent="0.3">
      <c r="A160" s="3">
        <v>46170</v>
      </c>
      <c r="B160" s="2" t="str">
        <f t="shared" si="10"/>
        <v>May-2026</v>
      </c>
      <c r="C160">
        <v>3</v>
      </c>
      <c r="D160">
        <v>23</v>
      </c>
      <c r="E160">
        <v>4</v>
      </c>
      <c r="F160" s="1">
        <v>2300</v>
      </c>
      <c r="G160">
        <v>11</v>
      </c>
      <c r="H160">
        <f t="shared" si="11"/>
        <v>0.17391304347826086</v>
      </c>
      <c r="I160">
        <f t="shared" si="12"/>
        <v>4.7826086956521737E-3</v>
      </c>
      <c r="J160">
        <f t="shared" si="13"/>
        <v>-8</v>
      </c>
      <c r="K160" t="str">
        <f t="shared" si="14"/>
        <v>May-2026</v>
      </c>
    </row>
    <row r="161" spans="1:11" x14ac:dyDescent="0.3">
      <c r="A161" s="3">
        <v>46171</v>
      </c>
      <c r="B161" s="2" t="str">
        <f t="shared" si="10"/>
        <v>May-2026</v>
      </c>
      <c r="C161">
        <v>7</v>
      </c>
      <c r="D161">
        <v>19</v>
      </c>
      <c r="E161">
        <v>14</v>
      </c>
      <c r="F161" s="1">
        <v>2305</v>
      </c>
      <c r="G161">
        <v>17</v>
      </c>
      <c r="H161">
        <f t="shared" si="11"/>
        <v>0.73684210526315785</v>
      </c>
      <c r="I161">
        <f t="shared" si="12"/>
        <v>7.37527114967462E-3</v>
      </c>
      <c r="J161">
        <f t="shared" si="13"/>
        <v>-10</v>
      </c>
      <c r="K161" t="str">
        <f t="shared" si="14"/>
        <v>May-2026</v>
      </c>
    </row>
    <row r="162" spans="1:11" x14ac:dyDescent="0.3">
      <c r="A162" s="3">
        <v>46172</v>
      </c>
      <c r="B162" s="2" t="str">
        <f t="shared" si="10"/>
        <v>May-2026</v>
      </c>
      <c r="C162">
        <v>10</v>
      </c>
      <c r="D162">
        <v>25</v>
      </c>
      <c r="E162">
        <v>5</v>
      </c>
      <c r="F162" s="1">
        <v>2308</v>
      </c>
      <c r="G162">
        <v>6</v>
      </c>
      <c r="H162">
        <f t="shared" si="11"/>
        <v>0.2</v>
      </c>
      <c r="I162">
        <f t="shared" si="12"/>
        <v>2.5996533795493936E-3</v>
      </c>
      <c r="J162">
        <f t="shared" si="13"/>
        <v>4</v>
      </c>
      <c r="K162" t="str">
        <f t="shared" si="14"/>
        <v>May-2026</v>
      </c>
    </row>
    <row r="163" spans="1:11" x14ac:dyDescent="0.3">
      <c r="A163" s="3">
        <v>46173</v>
      </c>
      <c r="B163" s="2" t="str">
        <f t="shared" si="10"/>
        <v>May-2026</v>
      </c>
      <c r="C163">
        <v>4</v>
      </c>
      <c r="D163">
        <v>15</v>
      </c>
      <c r="E163">
        <v>6</v>
      </c>
      <c r="F163" s="1">
        <v>2305</v>
      </c>
      <c r="G163">
        <v>4</v>
      </c>
      <c r="H163">
        <f t="shared" si="11"/>
        <v>0.4</v>
      </c>
      <c r="I163">
        <f t="shared" si="12"/>
        <v>1.7353579175704988E-3</v>
      </c>
      <c r="J163">
        <f t="shared" si="13"/>
        <v>0</v>
      </c>
      <c r="K163" t="str">
        <f t="shared" si="14"/>
        <v>May-2026</v>
      </c>
    </row>
    <row r="164" spans="1:11" x14ac:dyDescent="0.3">
      <c r="A164" s="3">
        <v>46174</v>
      </c>
      <c r="B164" s="2" t="str">
        <f t="shared" si="10"/>
        <v>Jun-2026</v>
      </c>
      <c r="C164">
        <v>7</v>
      </c>
      <c r="D164">
        <v>26</v>
      </c>
      <c r="E164">
        <v>10</v>
      </c>
      <c r="F164" s="1">
        <v>2288</v>
      </c>
      <c r="G164">
        <v>14</v>
      </c>
      <c r="H164">
        <f t="shared" si="11"/>
        <v>0.38461538461538464</v>
      </c>
      <c r="I164">
        <f t="shared" si="12"/>
        <v>6.118881118881119E-3</v>
      </c>
      <c r="J164">
        <f t="shared" si="13"/>
        <v>-7</v>
      </c>
      <c r="K164" t="str">
        <f t="shared" si="14"/>
        <v>Jun-2026</v>
      </c>
    </row>
    <row r="165" spans="1:11" x14ac:dyDescent="0.3">
      <c r="A165" s="3">
        <v>46175</v>
      </c>
      <c r="B165" s="2" t="str">
        <f t="shared" si="10"/>
        <v>Jun-2026</v>
      </c>
      <c r="C165">
        <v>11</v>
      </c>
      <c r="D165">
        <v>30</v>
      </c>
      <c r="E165">
        <v>5</v>
      </c>
      <c r="F165" s="1">
        <v>2291</v>
      </c>
      <c r="G165">
        <v>8</v>
      </c>
      <c r="H165">
        <f t="shared" si="11"/>
        <v>0.16666666666666666</v>
      </c>
      <c r="I165">
        <f t="shared" si="12"/>
        <v>3.4919249236141422E-3</v>
      </c>
      <c r="J165">
        <f t="shared" si="13"/>
        <v>3</v>
      </c>
      <c r="K165" t="str">
        <f t="shared" si="14"/>
        <v>Jun-2026</v>
      </c>
    </row>
    <row r="166" spans="1:11" x14ac:dyDescent="0.3">
      <c r="A166" s="3">
        <v>46176</v>
      </c>
      <c r="B166" s="2" t="str">
        <f t="shared" si="10"/>
        <v>Jun-2026</v>
      </c>
      <c r="C166">
        <v>4</v>
      </c>
      <c r="D166">
        <v>19</v>
      </c>
      <c r="E166">
        <v>12</v>
      </c>
      <c r="F166" s="1">
        <v>2286</v>
      </c>
      <c r="G166">
        <v>7</v>
      </c>
      <c r="H166">
        <f t="shared" si="11"/>
        <v>0.63157894736842102</v>
      </c>
      <c r="I166">
        <f t="shared" si="12"/>
        <v>3.0621172353455816E-3</v>
      </c>
      <c r="J166">
        <f t="shared" si="13"/>
        <v>-3</v>
      </c>
      <c r="K166" t="str">
        <f t="shared" si="14"/>
        <v>Jun-2026</v>
      </c>
    </row>
    <row r="167" spans="1:11" x14ac:dyDescent="0.3">
      <c r="A167" s="3">
        <v>46177</v>
      </c>
      <c r="B167" s="2" t="str">
        <f t="shared" si="10"/>
        <v>Jun-2026</v>
      </c>
      <c r="C167">
        <v>5</v>
      </c>
      <c r="D167">
        <v>26</v>
      </c>
      <c r="E167">
        <v>9</v>
      </c>
      <c r="F167" s="1">
        <v>2282</v>
      </c>
      <c r="G167">
        <v>13</v>
      </c>
      <c r="H167">
        <f t="shared" si="11"/>
        <v>0.34615384615384615</v>
      </c>
      <c r="I167">
        <f t="shared" si="12"/>
        <v>5.6967572304995615E-3</v>
      </c>
      <c r="J167">
        <f t="shared" si="13"/>
        <v>-8</v>
      </c>
      <c r="K167" t="str">
        <f t="shared" si="14"/>
        <v>Jun-2026</v>
      </c>
    </row>
    <row r="168" spans="1:11" x14ac:dyDescent="0.3">
      <c r="A168" s="3">
        <v>46178</v>
      </c>
      <c r="B168" s="2" t="str">
        <f t="shared" si="10"/>
        <v>Jun-2026</v>
      </c>
      <c r="C168">
        <v>5</v>
      </c>
      <c r="D168">
        <v>26</v>
      </c>
      <c r="E168">
        <v>10</v>
      </c>
      <c r="F168" s="1">
        <v>2283</v>
      </c>
      <c r="G168">
        <v>3</v>
      </c>
      <c r="H168">
        <f t="shared" si="11"/>
        <v>0.38461538461538464</v>
      </c>
      <c r="I168">
        <f t="shared" si="12"/>
        <v>1.3140604467805519E-3</v>
      </c>
      <c r="J168">
        <f t="shared" si="13"/>
        <v>2</v>
      </c>
      <c r="K168" t="str">
        <f t="shared" si="14"/>
        <v>Jun-2026</v>
      </c>
    </row>
    <row r="169" spans="1:11" x14ac:dyDescent="0.3">
      <c r="A169" s="3">
        <v>46179</v>
      </c>
      <c r="B169" s="2" t="str">
        <f t="shared" si="10"/>
        <v>Jun-2026</v>
      </c>
      <c r="C169">
        <v>8</v>
      </c>
      <c r="D169">
        <v>22</v>
      </c>
      <c r="E169">
        <v>8</v>
      </c>
      <c r="F169" s="1">
        <v>2267</v>
      </c>
      <c r="G169">
        <v>9</v>
      </c>
      <c r="H169">
        <f t="shared" si="11"/>
        <v>0.36363636363636365</v>
      </c>
      <c r="I169">
        <f t="shared" si="12"/>
        <v>3.970004411116012E-3</v>
      </c>
      <c r="J169">
        <f t="shared" si="13"/>
        <v>-1</v>
      </c>
      <c r="K169" t="str">
        <f t="shared" si="14"/>
        <v>Jun-2026</v>
      </c>
    </row>
    <row r="170" spans="1:11" x14ac:dyDescent="0.3">
      <c r="A170" s="3">
        <v>46180</v>
      </c>
      <c r="B170" s="2" t="str">
        <f t="shared" si="10"/>
        <v>Jun-2026</v>
      </c>
      <c r="C170">
        <v>18</v>
      </c>
      <c r="D170">
        <v>25</v>
      </c>
      <c r="E170">
        <v>17</v>
      </c>
      <c r="F170" s="1">
        <v>2265</v>
      </c>
      <c r="G170">
        <v>6</v>
      </c>
      <c r="H170">
        <f t="shared" si="11"/>
        <v>0.68</v>
      </c>
      <c r="I170">
        <f t="shared" si="12"/>
        <v>2.6490066225165563E-3</v>
      </c>
      <c r="J170">
        <f t="shared" si="13"/>
        <v>12</v>
      </c>
      <c r="K170" t="str">
        <f t="shared" si="14"/>
        <v>Jun-2026</v>
      </c>
    </row>
    <row r="171" spans="1:11" x14ac:dyDescent="0.3">
      <c r="A171" s="3">
        <v>46181</v>
      </c>
      <c r="B171" s="2" t="str">
        <f t="shared" si="10"/>
        <v>Jun-2026</v>
      </c>
      <c r="C171">
        <v>6</v>
      </c>
      <c r="D171">
        <v>19</v>
      </c>
      <c r="E171">
        <v>10</v>
      </c>
      <c r="F171" s="1">
        <v>2251</v>
      </c>
      <c r="G171">
        <v>5</v>
      </c>
      <c r="H171">
        <f t="shared" si="11"/>
        <v>0.52631578947368418</v>
      </c>
      <c r="I171">
        <f t="shared" si="12"/>
        <v>2.221235006663705E-3</v>
      </c>
      <c r="J171">
        <f t="shared" si="13"/>
        <v>1</v>
      </c>
      <c r="K171" t="str">
        <f t="shared" si="14"/>
        <v>Jun-2026</v>
      </c>
    </row>
    <row r="172" spans="1:11" x14ac:dyDescent="0.3">
      <c r="A172" s="3">
        <v>46182</v>
      </c>
      <c r="B172" s="2" t="str">
        <f t="shared" si="10"/>
        <v>Jun-2026</v>
      </c>
      <c r="C172">
        <v>12</v>
      </c>
      <c r="D172">
        <v>34</v>
      </c>
      <c r="E172">
        <v>12</v>
      </c>
      <c r="F172" s="1">
        <v>2243</v>
      </c>
      <c r="G172">
        <v>9</v>
      </c>
      <c r="H172">
        <f t="shared" si="11"/>
        <v>0.35294117647058826</v>
      </c>
      <c r="I172">
        <f t="shared" si="12"/>
        <v>4.012483281319661E-3</v>
      </c>
      <c r="J172">
        <f t="shared" si="13"/>
        <v>3</v>
      </c>
      <c r="K172" t="str">
        <f t="shared" si="14"/>
        <v>Jun-2026</v>
      </c>
    </row>
    <row r="173" spans="1:11" x14ac:dyDescent="0.3">
      <c r="A173" s="3">
        <v>46183</v>
      </c>
      <c r="B173" s="2" t="str">
        <f t="shared" si="10"/>
        <v>Jun-2026</v>
      </c>
      <c r="C173">
        <v>12</v>
      </c>
      <c r="D173">
        <v>22</v>
      </c>
      <c r="E173">
        <v>9</v>
      </c>
      <c r="F173" s="1">
        <v>2237</v>
      </c>
      <c r="G173">
        <v>5</v>
      </c>
      <c r="H173">
        <f t="shared" si="11"/>
        <v>0.40909090909090912</v>
      </c>
      <c r="I173">
        <f t="shared" si="12"/>
        <v>2.2351363433169421E-3</v>
      </c>
      <c r="J173">
        <f t="shared" si="13"/>
        <v>7</v>
      </c>
      <c r="K173" t="str">
        <f t="shared" si="14"/>
        <v>Jun-2026</v>
      </c>
    </row>
    <row r="174" spans="1:11" x14ac:dyDescent="0.3">
      <c r="A174" s="3">
        <v>46184</v>
      </c>
      <c r="B174" s="2" t="str">
        <f t="shared" si="10"/>
        <v>Jun-2026</v>
      </c>
      <c r="C174">
        <v>7</v>
      </c>
      <c r="D174">
        <v>14</v>
      </c>
      <c r="E174">
        <v>7</v>
      </c>
      <c r="F174" s="1">
        <v>2234</v>
      </c>
      <c r="G174">
        <v>11</v>
      </c>
      <c r="H174">
        <f t="shared" si="11"/>
        <v>0.5</v>
      </c>
      <c r="I174">
        <f t="shared" si="12"/>
        <v>4.9239033124440466E-3</v>
      </c>
      <c r="J174">
        <f t="shared" si="13"/>
        <v>-4</v>
      </c>
      <c r="K174" t="str">
        <f t="shared" si="14"/>
        <v>Jun-2026</v>
      </c>
    </row>
    <row r="175" spans="1:11" x14ac:dyDescent="0.3">
      <c r="A175" s="3">
        <v>46185</v>
      </c>
      <c r="B175" s="2" t="str">
        <f t="shared" si="10"/>
        <v>Jun-2026</v>
      </c>
      <c r="C175">
        <v>12</v>
      </c>
      <c r="D175">
        <v>26</v>
      </c>
      <c r="E175">
        <v>18</v>
      </c>
      <c r="F175" s="1">
        <v>2223</v>
      </c>
      <c r="G175">
        <v>8</v>
      </c>
      <c r="H175">
        <f t="shared" si="11"/>
        <v>0.69230769230769229</v>
      </c>
      <c r="I175">
        <f t="shared" si="12"/>
        <v>3.5987404408457041E-3</v>
      </c>
      <c r="J175">
        <f t="shared" si="13"/>
        <v>4</v>
      </c>
      <c r="K175" t="str">
        <f t="shared" si="14"/>
        <v>Jun-2026</v>
      </c>
    </row>
    <row r="176" spans="1:11" x14ac:dyDescent="0.3">
      <c r="A176" s="3">
        <v>46186</v>
      </c>
      <c r="B176" s="2" t="str">
        <f t="shared" si="10"/>
        <v>Jun-2026</v>
      </c>
      <c r="C176">
        <v>5</v>
      </c>
      <c r="D176">
        <v>31</v>
      </c>
      <c r="E176">
        <v>16</v>
      </c>
      <c r="F176" s="1">
        <v>2208</v>
      </c>
      <c r="G176">
        <v>3</v>
      </c>
      <c r="H176">
        <f t="shared" si="11"/>
        <v>0.5161290322580645</v>
      </c>
      <c r="I176">
        <f t="shared" si="12"/>
        <v>1.358695652173913E-3</v>
      </c>
      <c r="J176">
        <f t="shared" si="13"/>
        <v>2</v>
      </c>
      <c r="K176" t="str">
        <f t="shared" si="14"/>
        <v>Jun-2026</v>
      </c>
    </row>
    <row r="177" spans="1:11" x14ac:dyDescent="0.3">
      <c r="A177" s="3">
        <v>46187</v>
      </c>
      <c r="B177" s="2" t="str">
        <f t="shared" si="10"/>
        <v>Jun-2026</v>
      </c>
      <c r="C177">
        <v>17</v>
      </c>
      <c r="D177">
        <v>36</v>
      </c>
      <c r="E177">
        <v>7</v>
      </c>
      <c r="F177" s="1">
        <v>2191</v>
      </c>
      <c r="G177">
        <v>12</v>
      </c>
      <c r="H177">
        <f t="shared" si="11"/>
        <v>0.19444444444444445</v>
      </c>
      <c r="I177">
        <f t="shared" si="12"/>
        <v>5.4769511638521227E-3</v>
      </c>
      <c r="J177">
        <f t="shared" si="13"/>
        <v>5</v>
      </c>
      <c r="K177" t="str">
        <f t="shared" si="14"/>
        <v>Jun-2026</v>
      </c>
    </row>
    <row r="178" spans="1:11" x14ac:dyDescent="0.3">
      <c r="A178" s="3">
        <v>46188</v>
      </c>
      <c r="B178" s="2" t="str">
        <f t="shared" si="10"/>
        <v>Jun-2026</v>
      </c>
      <c r="C178">
        <v>9</v>
      </c>
      <c r="D178">
        <v>25</v>
      </c>
      <c r="E178">
        <v>8</v>
      </c>
      <c r="F178" s="1">
        <v>2193</v>
      </c>
      <c r="G178">
        <v>5</v>
      </c>
      <c r="H178">
        <f t="shared" si="11"/>
        <v>0.32</v>
      </c>
      <c r="I178">
        <f t="shared" si="12"/>
        <v>2.2799817601459188E-3</v>
      </c>
      <c r="J178">
        <f t="shared" si="13"/>
        <v>4</v>
      </c>
      <c r="K178" t="str">
        <f t="shared" si="14"/>
        <v>Jun-2026</v>
      </c>
    </row>
    <row r="179" spans="1:11" x14ac:dyDescent="0.3">
      <c r="A179" s="3">
        <v>46189</v>
      </c>
      <c r="B179" s="2" t="str">
        <f t="shared" si="10"/>
        <v>Jun-2026</v>
      </c>
      <c r="C179">
        <v>9</v>
      </c>
      <c r="D179">
        <v>20</v>
      </c>
      <c r="E179">
        <v>5</v>
      </c>
      <c r="F179" s="1">
        <v>2188</v>
      </c>
      <c r="G179">
        <v>2</v>
      </c>
      <c r="H179">
        <f t="shared" si="11"/>
        <v>0.25</v>
      </c>
      <c r="I179">
        <f t="shared" si="12"/>
        <v>9.1407678244972577E-4</v>
      </c>
      <c r="J179">
        <f t="shared" si="13"/>
        <v>7</v>
      </c>
      <c r="K179" t="str">
        <f t="shared" si="14"/>
        <v>Jun-2026</v>
      </c>
    </row>
    <row r="180" spans="1:11" x14ac:dyDescent="0.3">
      <c r="A180" s="3">
        <v>46190</v>
      </c>
      <c r="B180" s="2" t="str">
        <f t="shared" si="10"/>
        <v>Jun-2026</v>
      </c>
      <c r="C180">
        <v>1</v>
      </c>
      <c r="D180">
        <v>19</v>
      </c>
      <c r="E180">
        <v>13</v>
      </c>
      <c r="F180" s="1">
        <v>2159</v>
      </c>
      <c r="G180">
        <v>2</v>
      </c>
      <c r="H180">
        <f t="shared" si="11"/>
        <v>0.68421052631578949</v>
      </c>
      <c r="I180">
        <f t="shared" si="12"/>
        <v>9.2635479388605835E-4</v>
      </c>
      <c r="J180">
        <f t="shared" si="13"/>
        <v>-1</v>
      </c>
      <c r="K180" t="str">
        <f t="shared" si="14"/>
        <v>Jun-2026</v>
      </c>
    </row>
    <row r="181" spans="1:11" x14ac:dyDescent="0.3">
      <c r="A181" s="3">
        <v>46191</v>
      </c>
      <c r="B181" s="2" t="str">
        <f t="shared" si="10"/>
        <v>Jun-2026</v>
      </c>
      <c r="C181">
        <v>9</v>
      </c>
      <c r="D181">
        <v>21</v>
      </c>
      <c r="E181">
        <v>15</v>
      </c>
      <c r="F181" s="1">
        <v>2159</v>
      </c>
      <c r="G181">
        <v>2</v>
      </c>
      <c r="H181">
        <f t="shared" si="11"/>
        <v>0.7142857142857143</v>
      </c>
      <c r="I181">
        <f t="shared" si="12"/>
        <v>9.2635479388605835E-4</v>
      </c>
      <c r="J181">
        <f t="shared" si="13"/>
        <v>7</v>
      </c>
      <c r="K181" t="str">
        <f t="shared" si="14"/>
        <v>Jun-2026</v>
      </c>
    </row>
    <row r="182" spans="1:11" x14ac:dyDescent="0.3">
      <c r="A182" s="3">
        <v>46192</v>
      </c>
      <c r="B182" s="2" t="str">
        <f t="shared" si="10"/>
        <v>Jun-2026</v>
      </c>
      <c r="C182">
        <v>12</v>
      </c>
      <c r="D182">
        <v>19</v>
      </c>
      <c r="E182">
        <v>7</v>
      </c>
      <c r="F182" s="1">
        <v>2145</v>
      </c>
      <c r="G182">
        <v>6</v>
      </c>
      <c r="H182">
        <f t="shared" si="11"/>
        <v>0.36842105263157893</v>
      </c>
      <c r="I182">
        <f t="shared" si="12"/>
        <v>2.7972027972027972E-3</v>
      </c>
      <c r="J182">
        <f t="shared" si="13"/>
        <v>6</v>
      </c>
      <c r="K182" t="str">
        <f t="shared" si="14"/>
        <v>Jun-2026</v>
      </c>
    </row>
    <row r="183" spans="1:11" x14ac:dyDescent="0.3">
      <c r="A183" s="3">
        <v>46193</v>
      </c>
      <c r="B183" s="2" t="str">
        <f t="shared" si="10"/>
        <v>Jun-2026</v>
      </c>
      <c r="C183">
        <v>7</v>
      </c>
      <c r="D183">
        <v>13</v>
      </c>
      <c r="E183">
        <v>11</v>
      </c>
      <c r="F183" s="1">
        <v>2139</v>
      </c>
      <c r="G183">
        <v>7</v>
      </c>
      <c r="H183">
        <f t="shared" si="11"/>
        <v>0.84615384615384615</v>
      </c>
      <c r="I183">
        <f t="shared" si="12"/>
        <v>3.2725572697522207E-3</v>
      </c>
      <c r="J183">
        <f t="shared" si="13"/>
        <v>0</v>
      </c>
      <c r="K183" t="str">
        <f t="shared" si="14"/>
        <v>Jun-2026</v>
      </c>
    </row>
    <row r="184" spans="1:11" x14ac:dyDescent="0.3">
      <c r="A184" s="3">
        <v>46194</v>
      </c>
      <c r="B184" s="2" t="str">
        <f t="shared" si="10"/>
        <v>Jun-2026</v>
      </c>
      <c r="C184">
        <v>15</v>
      </c>
      <c r="D184">
        <v>29</v>
      </c>
      <c r="E184">
        <v>9</v>
      </c>
      <c r="F184" s="1">
        <v>2136</v>
      </c>
      <c r="G184">
        <v>2</v>
      </c>
      <c r="H184">
        <f t="shared" si="11"/>
        <v>0.31034482758620691</v>
      </c>
      <c r="I184">
        <f t="shared" si="12"/>
        <v>9.3632958801498128E-4</v>
      </c>
      <c r="J184">
        <f t="shared" si="13"/>
        <v>13</v>
      </c>
      <c r="K184" t="str">
        <f t="shared" si="14"/>
        <v>Jun-2026</v>
      </c>
    </row>
    <row r="185" spans="1:11" x14ac:dyDescent="0.3">
      <c r="A185" s="3">
        <v>46195</v>
      </c>
      <c r="B185" s="2" t="str">
        <f t="shared" si="10"/>
        <v>Jun-2026</v>
      </c>
      <c r="C185">
        <v>9</v>
      </c>
      <c r="D185">
        <v>20</v>
      </c>
      <c r="E185">
        <v>11</v>
      </c>
      <c r="F185" s="1">
        <v>2124</v>
      </c>
      <c r="G185">
        <v>7</v>
      </c>
      <c r="H185">
        <f t="shared" si="11"/>
        <v>0.55000000000000004</v>
      </c>
      <c r="I185">
        <f t="shared" si="12"/>
        <v>3.2956685499058382E-3</v>
      </c>
      <c r="J185">
        <f t="shared" si="13"/>
        <v>2</v>
      </c>
      <c r="K185" t="str">
        <f t="shared" si="14"/>
        <v>Jun-2026</v>
      </c>
    </row>
    <row r="186" spans="1:11" x14ac:dyDescent="0.3">
      <c r="A186" s="3">
        <v>46196</v>
      </c>
      <c r="B186" s="2" t="str">
        <f t="shared" si="10"/>
        <v>Jun-2026</v>
      </c>
      <c r="C186">
        <v>6</v>
      </c>
      <c r="D186">
        <v>22</v>
      </c>
      <c r="E186">
        <v>14</v>
      </c>
      <c r="F186" s="1">
        <v>2119</v>
      </c>
      <c r="G186">
        <v>9</v>
      </c>
      <c r="H186">
        <f t="shared" si="11"/>
        <v>0.63636363636363635</v>
      </c>
      <c r="I186">
        <f t="shared" si="12"/>
        <v>4.2472864558754132E-3</v>
      </c>
      <c r="J186">
        <f t="shared" si="13"/>
        <v>-3</v>
      </c>
      <c r="K186" t="str">
        <f t="shared" si="14"/>
        <v>Jun-2026</v>
      </c>
    </row>
    <row r="187" spans="1:11" x14ac:dyDescent="0.3">
      <c r="A187" s="3">
        <v>46197</v>
      </c>
      <c r="B187" s="2" t="str">
        <f t="shared" si="10"/>
        <v>Jun-2026</v>
      </c>
      <c r="C187">
        <v>19</v>
      </c>
      <c r="D187">
        <v>34</v>
      </c>
      <c r="E187">
        <v>6</v>
      </c>
      <c r="F187" s="1">
        <v>2109</v>
      </c>
      <c r="G187">
        <v>8</v>
      </c>
      <c r="H187">
        <f t="shared" si="11"/>
        <v>0.17647058823529413</v>
      </c>
      <c r="I187">
        <f t="shared" si="12"/>
        <v>3.793266951161688E-3</v>
      </c>
      <c r="J187">
        <f t="shared" si="13"/>
        <v>11</v>
      </c>
      <c r="K187" t="str">
        <f t="shared" si="14"/>
        <v>Jun-2026</v>
      </c>
    </row>
    <row r="188" spans="1:11" x14ac:dyDescent="0.3">
      <c r="A188" s="3">
        <v>46198</v>
      </c>
      <c r="B188" s="2" t="str">
        <f t="shared" si="10"/>
        <v>Jun-2026</v>
      </c>
      <c r="C188">
        <v>5</v>
      </c>
      <c r="D188">
        <v>14</v>
      </c>
      <c r="E188">
        <v>0</v>
      </c>
      <c r="F188" s="1">
        <v>2111</v>
      </c>
      <c r="G188">
        <v>8</v>
      </c>
      <c r="H188">
        <f t="shared" si="11"/>
        <v>0</v>
      </c>
      <c r="I188">
        <f t="shared" si="12"/>
        <v>3.7896731406916154E-3</v>
      </c>
      <c r="J188">
        <f t="shared" si="13"/>
        <v>-3</v>
      </c>
      <c r="K188" t="str">
        <f t="shared" si="14"/>
        <v>Jun-2026</v>
      </c>
    </row>
    <row r="189" spans="1:11" x14ac:dyDescent="0.3">
      <c r="A189" s="3">
        <v>46199</v>
      </c>
      <c r="B189" s="2" t="str">
        <f t="shared" si="10"/>
        <v>Jun-2026</v>
      </c>
      <c r="C189">
        <v>1</v>
      </c>
      <c r="D189">
        <v>9</v>
      </c>
      <c r="E189">
        <v>8</v>
      </c>
      <c r="F189" s="1">
        <v>2117</v>
      </c>
      <c r="G189">
        <v>5</v>
      </c>
      <c r="H189">
        <f t="shared" si="11"/>
        <v>0.88888888888888884</v>
      </c>
      <c r="I189">
        <f t="shared" si="12"/>
        <v>2.3618327822390174E-3</v>
      </c>
      <c r="J189">
        <f t="shared" si="13"/>
        <v>-4</v>
      </c>
      <c r="K189" t="str">
        <f t="shared" si="14"/>
        <v>Jun-2026</v>
      </c>
    </row>
    <row r="190" spans="1:11" x14ac:dyDescent="0.3">
      <c r="A190" s="3">
        <v>46200</v>
      </c>
      <c r="B190" s="2" t="str">
        <f t="shared" si="10"/>
        <v>Jun-2026</v>
      </c>
      <c r="C190">
        <v>4</v>
      </c>
      <c r="D190">
        <v>20</v>
      </c>
      <c r="E190">
        <v>9</v>
      </c>
      <c r="F190" s="1">
        <v>2116</v>
      </c>
      <c r="G190">
        <v>6</v>
      </c>
      <c r="H190">
        <f t="shared" si="11"/>
        <v>0.45</v>
      </c>
      <c r="I190">
        <f t="shared" si="12"/>
        <v>2.8355387523629491E-3</v>
      </c>
      <c r="J190">
        <f t="shared" si="13"/>
        <v>-2</v>
      </c>
      <c r="K190" t="str">
        <f t="shared" si="14"/>
        <v>Jun-2026</v>
      </c>
    </row>
    <row r="191" spans="1:11" x14ac:dyDescent="0.3">
      <c r="A191" s="3">
        <v>46201</v>
      </c>
      <c r="B191" s="2" t="str">
        <f t="shared" si="10"/>
        <v>Jun-2026</v>
      </c>
      <c r="C191">
        <v>6</v>
      </c>
      <c r="D191">
        <v>18</v>
      </c>
      <c r="E191">
        <v>2</v>
      </c>
      <c r="F191" s="1">
        <v>2113</v>
      </c>
      <c r="G191">
        <v>8</v>
      </c>
      <c r="H191">
        <f t="shared" si="11"/>
        <v>0.1111111111111111</v>
      </c>
      <c r="I191">
        <f t="shared" si="12"/>
        <v>3.7860861334595361E-3</v>
      </c>
      <c r="J191">
        <f t="shared" si="13"/>
        <v>-2</v>
      </c>
      <c r="K191" t="str">
        <f t="shared" si="14"/>
        <v>Jun-2026</v>
      </c>
    </row>
    <row r="192" spans="1:11" x14ac:dyDescent="0.3">
      <c r="A192" s="3">
        <v>46202</v>
      </c>
      <c r="B192" s="2" t="str">
        <f t="shared" si="10"/>
        <v>Jun-2026</v>
      </c>
      <c r="C192">
        <v>3</v>
      </c>
      <c r="D192">
        <v>11</v>
      </c>
      <c r="E192">
        <v>7</v>
      </c>
      <c r="F192" s="1">
        <v>2116</v>
      </c>
      <c r="G192">
        <v>20</v>
      </c>
      <c r="H192">
        <f t="shared" si="11"/>
        <v>0.63636363636363635</v>
      </c>
      <c r="I192">
        <f t="shared" si="12"/>
        <v>9.4517958412098299E-3</v>
      </c>
      <c r="J192">
        <f t="shared" si="13"/>
        <v>-17</v>
      </c>
      <c r="K192" t="str">
        <f t="shared" si="14"/>
        <v>Jun-2026</v>
      </c>
    </row>
    <row r="193" spans="1:11" x14ac:dyDescent="0.3">
      <c r="A193" s="3">
        <v>46203</v>
      </c>
      <c r="B193" s="2" t="str">
        <f t="shared" si="10"/>
        <v>Jun-2026</v>
      </c>
      <c r="C193">
        <v>6</v>
      </c>
      <c r="D193">
        <v>28</v>
      </c>
      <c r="E193">
        <v>8</v>
      </c>
      <c r="F193" s="1">
        <v>2125</v>
      </c>
      <c r="G193">
        <v>23</v>
      </c>
      <c r="H193">
        <f t="shared" si="11"/>
        <v>0.2857142857142857</v>
      </c>
      <c r="I193">
        <f t="shared" si="12"/>
        <v>1.0823529411764706E-2</v>
      </c>
      <c r="J193">
        <f t="shared" si="13"/>
        <v>-17</v>
      </c>
      <c r="K193" t="str">
        <f t="shared" si="14"/>
        <v>Jun-2026</v>
      </c>
    </row>
    <row r="194" spans="1:11" x14ac:dyDescent="0.3">
      <c r="A194" s="3">
        <v>46204</v>
      </c>
      <c r="B194" s="2" t="str">
        <f t="shared" si="10"/>
        <v>Jul-2026</v>
      </c>
      <c r="C194">
        <v>12</v>
      </c>
      <c r="D194">
        <v>25</v>
      </c>
      <c r="E194">
        <v>15</v>
      </c>
      <c r="F194" s="1">
        <v>2137</v>
      </c>
      <c r="G194">
        <v>30</v>
      </c>
      <c r="H194">
        <f t="shared" si="11"/>
        <v>0.6</v>
      </c>
      <c r="I194">
        <f t="shared" si="12"/>
        <v>1.4038371548900327E-2</v>
      </c>
      <c r="J194">
        <f t="shared" si="13"/>
        <v>-18</v>
      </c>
      <c r="K194" t="str">
        <f t="shared" si="14"/>
        <v>Jul-2026</v>
      </c>
    </row>
    <row r="195" spans="1:11" x14ac:dyDescent="0.3">
      <c r="A195" s="3">
        <v>46205</v>
      </c>
      <c r="B195" s="2" t="str">
        <f t="shared" ref="B195:B258" si="15">TEXT(A195,"mmm-yyyy")</f>
        <v>Jul-2026</v>
      </c>
      <c r="C195">
        <v>7</v>
      </c>
      <c r="D195">
        <v>27</v>
      </c>
      <c r="E195">
        <v>6</v>
      </c>
      <c r="F195" s="1">
        <v>2218</v>
      </c>
      <c r="G195">
        <v>33</v>
      </c>
      <c r="H195">
        <f t="shared" ref="H195:H258" si="16">E195/D195</f>
        <v>0.22222222222222221</v>
      </c>
      <c r="I195">
        <f t="shared" ref="I195:I258" si="17">G195/F195</f>
        <v>1.4878268710550046E-2</v>
      </c>
      <c r="J195">
        <f t="shared" ref="J195:J258" si="18">C195-G195</f>
        <v>-26</v>
      </c>
      <c r="K195" t="str">
        <f t="shared" ref="K195:K258" si="19">TEXT(A195,"mmm-yyyy")</f>
        <v>Jul-2026</v>
      </c>
    </row>
    <row r="196" spans="1:11" x14ac:dyDescent="0.3">
      <c r="A196" s="3">
        <v>46206</v>
      </c>
      <c r="B196" s="2" t="str">
        <f t="shared" si="15"/>
        <v>Jul-2026</v>
      </c>
      <c r="C196">
        <v>5</v>
      </c>
      <c r="D196">
        <v>20</v>
      </c>
      <c r="E196">
        <v>4</v>
      </c>
      <c r="F196" s="1">
        <v>2238</v>
      </c>
      <c r="G196">
        <v>40</v>
      </c>
      <c r="H196">
        <f t="shared" si="16"/>
        <v>0.2</v>
      </c>
      <c r="I196">
        <f t="shared" si="17"/>
        <v>1.7873100983020553E-2</v>
      </c>
      <c r="J196">
        <f t="shared" si="18"/>
        <v>-35</v>
      </c>
      <c r="K196" t="str">
        <f t="shared" si="19"/>
        <v>Jul-2026</v>
      </c>
    </row>
    <row r="197" spans="1:11" x14ac:dyDescent="0.3">
      <c r="A197" s="3">
        <v>46207</v>
      </c>
      <c r="B197" s="2" t="str">
        <f t="shared" si="15"/>
        <v>Jul-2026</v>
      </c>
      <c r="C197">
        <v>4</v>
      </c>
      <c r="D197">
        <v>25</v>
      </c>
      <c r="E197">
        <v>10</v>
      </c>
      <c r="F197" s="1">
        <v>2272</v>
      </c>
      <c r="G197">
        <v>30</v>
      </c>
      <c r="H197">
        <f t="shared" si="16"/>
        <v>0.4</v>
      </c>
      <c r="I197">
        <f t="shared" si="17"/>
        <v>1.3204225352112676E-2</v>
      </c>
      <c r="J197">
        <f t="shared" si="18"/>
        <v>-26</v>
      </c>
      <c r="K197" t="str">
        <f t="shared" si="19"/>
        <v>Jul-2026</v>
      </c>
    </row>
    <row r="198" spans="1:11" x14ac:dyDescent="0.3">
      <c r="A198" s="3">
        <v>46208</v>
      </c>
      <c r="B198" s="2" t="str">
        <f t="shared" si="15"/>
        <v>Jul-2026</v>
      </c>
      <c r="C198">
        <v>8</v>
      </c>
      <c r="D198">
        <v>29</v>
      </c>
      <c r="E198">
        <v>18</v>
      </c>
      <c r="F198" s="1">
        <v>2287</v>
      </c>
      <c r="G198">
        <v>25</v>
      </c>
      <c r="H198">
        <f t="shared" si="16"/>
        <v>0.62068965517241381</v>
      </c>
      <c r="I198">
        <f t="shared" si="17"/>
        <v>1.0931351114997814E-2</v>
      </c>
      <c r="J198">
        <f t="shared" si="18"/>
        <v>-17</v>
      </c>
      <c r="K198" t="str">
        <f t="shared" si="19"/>
        <v>Jul-2026</v>
      </c>
    </row>
    <row r="199" spans="1:11" x14ac:dyDescent="0.3">
      <c r="A199" s="3">
        <v>46209</v>
      </c>
      <c r="B199" s="2" t="str">
        <f t="shared" si="15"/>
        <v>Jul-2026</v>
      </c>
      <c r="C199">
        <v>12</v>
      </c>
      <c r="D199">
        <v>24</v>
      </c>
      <c r="E199">
        <v>4</v>
      </c>
      <c r="F199" s="1">
        <v>2297</v>
      </c>
      <c r="G199">
        <v>31</v>
      </c>
      <c r="H199">
        <f t="shared" si="16"/>
        <v>0.16666666666666666</v>
      </c>
      <c r="I199">
        <f t="shared" si="17"/>
        <v>1.3495864170657379E-2</v>
      </c>
      <c r="J199">
        <f t="shared" si="18"/>
        <v>-19</v>
      </c>
      <c r="K199" t="str">
        <f t="shared" si="19"/>
        <v>Jul-2026</v>
      </c>
    </row>
    <row r="200" spans="1:11" x14ac:dyDescent="0.3">
      <c r="A200" s="3">
        <v>46210</v>
      </c>
      <c r="B200" s="2" t="str">
        <f t="shared" si="15"/>
        <v>Jul-2026</v>
      </c>
      <c r="C200">
        <v>10</v>
      </c>
      <c r="D200">
        <v>15</v>
      </c>
      <c r="E200">
        <v>17</v>
      </c>
      <c r="F200" s="1">
        <v>2391</v>
      </c>
      <c r="G200">
        <v>37</v>
      </c>
      <c r="H200">
        <f t="shared" si="16"/>
        <v>1.1333333333333333</v>
      </c>
      <c r="I200">
        <f t="shared" si="17"/>
        <v>1.547469677959013E-2</v>
      </c>
      <c r="J200">
        <f t="shared" si="18"/>
        <v>-27</v>
      </c>
      <c r="K200" t="str">
        <f t="shared" si="19"/>
        <v>Jul-2026</v>
      </c>
    </row>
    <row r="201" spans="1:11" x14ac:dyDescent="0.3">
      <c r="A201" s="3">
        <v>46211</v>
      </c>
      <c r="B201" s="2" t="str">
        <f t="shared" si="15"/>
        <v>Jul-2026</v>
      </c>
      <c r="C201">
        <v>12</v>
      </c>
      <c r="D201">
        <v>21</v>
      </c>
      <c r="E201">
        <v>1</v>
      </c>
      <c r="F201" s="1">
        <v>2411</v>
      </c>
      <c r="G201">
        <v>23</v>
      </c>
      <c r="H201">
        <f t="shared" si="16"/>
        <v>4.7619047619047616E-2</v>
      </c>
      <c r="I201">
        <f t="shared" si="17"/>
        <v>9.53961012028204E-3</v>
      </c>
      <c r="J201">
        <f t="shared" si="18"/>
        <v>-11</v>
      </c>
      <c r="K201" t="str">
        <f t="shared" si="19"/>
        <v>Jul-2026</v>
      </c>
    </row>
    <row r="202" spans="1:11" x14ac:dyDescent="0.3">
      <c r="A202" s="3">
        <v>46212</v>
      </c>
      <c r="B202" s="2" t="str">
        <f t="shared" si="15"/>
        <v>Jul-2026</v>
      </c>
      <c r="C202">
        <v>11</v>
      </c>
      <c r="D202">
        <v>7</v>
      </c>
      <c r="E202">
        <v>7</v>
      </c>
      <c r="F202" s="1">
        <v>2413</v>
      </c>
      <c r="G202">
        <v>23</v>
      </c>
      <c r="H202">
        <f t="shared" si="16"/>
        <v>1</v>
      </c>
      <c r="I202">
        <f t="shared" si="17"/>
        <v>9.5317032739328632E-3</v>
      </c>
      <c r="J202">
        <f t="shared" si="18"/>
        <v>-12</v>
      </c>
      <c r="K202" t="str">
        <f t="shared" si="19"/>
        <v>Jul-2026</v>
      </c>
    </row>
    <row r="203" spans="1:11" x14ac:dyDescent="0.3">
      <c r="A203" s="3">
        <v>46213</v>
      </c>
      <c r="B203" s="2" t="str">
        <f t="shared" si="15"/>
        <v>Jul-2026</v>
      </c>
      <c r="C203">
        <v>20</v>
      </c>
      <c r="D203">
        <v>22</v>
      </c>
      <c r="E203">
        <v>14</v>
      </c>
      <c r="F203" s="1">
        <v>2413</v>
      </c>
      <c r="G203">
        <v>24</v>
      </c>
      <c r="H203">
        <f t="shared" si="16"/>
        <v>0.63636363636363635</v>
      </c>
      <c r="I203">
        <f t="shared" si="17"/>
        <v>9.9461251554082055E-3</v>
      </c>
      <c r="J203">
        <f t="shared" si="18"/>
        <v>-4</v>
      </c>
      <c r="K203" t="str">
        <f t="shared" si="19"/>
        <v>Jul-2026</v>
      </c>
    </row>
    <row r="204" spans="1:11" x14ac:dyDescent="0.3">
      <c r="A204" s="3">
        <v>46214</v>
      </c>
      <c r="B204" s="2" t="str">
        <f t="shared" si="15"/>
        <v>Jul-2026</v>
      </c>
      <c r="C204">
        <v>7</v>
      </c>
      <c r="D204">
        <v>16</v>
      </c>
      <c r="E204">
        <v>8</v>
      </c>
      <c r="F204" s="1">
        <v>2423</v>
      </c>
      <c r="G204">
        <v>35</v>
      </c>
      <c r="H204">
        <f t="shared" si="16"/>
        <v>0.5</v>
      </c>
      <c r="I204">
        <f t="shared" si="17"/>
        <v>1.4444903012794058E-2</v>
      </c>
      <c r="J204">
        <f t="shared" si="18"/>
        <v>-28</v>
      </c>
      <c r="K204" t="str">
        <f t="shared" si="19"/>
        <v>Jul-2026</v>
      </c>
    </row>
    <row r="205" spans="1:11" x14ac:dyDescent="0.3">
      <c r="A205" s="3">
        <v>46215</v>
      </c>
      <c r="B205" s="2" t="str">
        <f t="shared" si="15"/>
        <v>Jul-2026</v>
      </c>
      <c r="C205">
        <v>13</v>
      </c>
      <c r="D205">
        <v>25</v>
      </c>
      <c r="E205">
        <v>15</v>
      </c>
      <c r="F205" s="1">
        <v>2520</v>
      </c>
      <c r="G205">
        <v>32</v>
      </c>
      <c r="H205">
        <f t="shared" si="16"/>
        <v>0.6</v>
      </c>
      <c r="I205">
        <f t="shared" si="17"/>
        <v>1.2698412698412698E-2</v>
      </c>
      <c r="J205">
        <f t="shared" si="18"/>
        <v>-19</v>
      </c>
      <c r="K205" t="str">
        <f t="shared" si="19"/>
        <v>Jul-2026</v>
      </c>
    </row>
    <row r="206" spans="1:11" x14ac:dyDescent="0.3">
      <c r="A206" s="3">
        <v>46216</v>
      </c>
      <c r="B206" s="2" t="str">
        <f t="shared" si="15"/>
        <v>Jul-2026</v>
      </c>
      <c r="C206">
        <v>12</v>
      </c>
      <c r="D206">
        <v>17</v>
      </c>
      <c r="E206">
        <v>17</v>
      </c>
      <c r="F206" s="1">
        <v>2528</v>
      </c>
      <c r="G206">
        <v>19</v>
      </c>
      <c r="H206">
        <f t="shared" si="16"/>
        <v>1</v>
      </c>
      <c r="I206">
        <f t="shared" si="17"/>
        <v>7.5158227848101267E-3</v>
      </c>
      <c r="J206">
        <f t="shared" si="18"/>
        <v>-7</v>
      </c>
      <c r="K206" t="str">
        <f t="shared" si="19"/>
        <v>Jul-2026</v>
      </c>
    </row>
    <row r="207" spans="1:11" x14ac:dyDescent="0.3">
      <c r="A207" s="3">
        <v>46217</v>
      </c>
      <c r="B207" s="2" t="str">
        <f t="shared" si="15"/>
        <v>Jul-2026</v>
      </c>
      <c r="C207">
        <v>18</v>
      </c>
      <c r="D207">
        <v>19</v>
      </c>
      <c r="E207">
        <v>11</v>
      </c>
      <c r="F207" s="1">
        <v>2536</v>
      </c>
      <c r="G207">
        <v>9</v>
      </c>
      <c r="H207">
        <f t="shared" si="16"/>
        <v>0.57894736842105265</v>
      </c>
      <c r="I207">
        <f t="shared" si="17"/>
        <v>3.5488958990536278E-3</v>
      </c>
      <c r="J207">
        <f t="shared" si="18"/>
        <v>9</v>
      </c>
      <c r="K207" t="str">
        <f t="shared" si="19"/>
        <v>Jul-2026</v>
      </c>
    </row>
    <row r="208" spans="1:11" x14ac:dyDescent="0.3">
      <c r="A208" s="3">
        <v>46218</v>
      </c>
      <c r="B208" s="2" t="str">
        <f t="shared" si="15"/>
        <v>Jul-2026</v>
      </c>
      <c r="C208">
        <v>8</v>
      </c>
      <c r="D208">
        <v>17</v>
      </c>
      <c r="E208">
        <v>14</v>
      </c>
      <c r="F208" s="1">
        <v>2532</v>
      </c>
      <c r="G208">
        <v>15</v>
      </c>
      <c r="H208">
        <f t="shared" si="16"/>
        <v>0.82352941176470584</v>
      </c>
      <c r="I208">
        <f t="shared" si="17"/>
        <v>5.9241706161137437E-3</v>
      </c>
      <c r="J208">
        <f t="shared" si="18"/>
        <v>-7</v>
      </c>
      <c r="K208" t="str">
        <f t="shared" si="19"/>
        <v>Jul-2026</v>
      </c>
    </row>
    <row r="209" spans="1:11" x14ac:dyDescent="0.3">
      <c r="A209" s="3">
        <v>46219</v>
      </c>
      <c r="B209" s="2" t="str">
        <f t="shared" si="15"/>
        <v>Jul-2026</v>
      </c>
      <c r="C209">
        <v>15</v>
      </c>
      <c r="D209">
        <v>10</v>
      </c>
      <c r="E209">
        <v>23</v>
      </c>
      <c r="F209" s="1">
        <v>2703</v>
      </c>
      <c r="G209">
        <v>72</v>
      </c>
      <c r="H209">
        <f t="shared" si="16"/>
        <v>2.2999999999999998</v>
      </c>
      <c r="I209">
        <f t="shared" si="17"/>
        <v>2.6637069922308545E-2</v>
      </c>
      <c r="J209">
        <f t="shared" si="18"/>
        <v>-57</v>
      </c>
      <c r="K209" t="str">
        <f t="shared" si="19"/>
        <v>Jul-2026</v>
      </c>
    </row>
    <row r="210" spans="1:11" x14ac:dyDescent="0.3">
      <c r="A210" s="3">
        <v>46220</v>
      </c>
      <c r="B210" s="2" t="str">
        <f t="shared" si="15"/>
        <v>Jul-2026</v>
      </c>
      <c r="C210">
        <v>16</v>
      </c>
      <c r="D210">
        <v>20</v>
      </c>
      <c r="E210">
        <v>20</v>
      </c>
      <c r="F210" s="1">
        <v>2752</v>
      </c>
      <c r="G210">
        <v>66</v>
      </c>
      <c r="H210">
        <f t="shared" si="16"/>
        <v>1</v>
      </c>
      <c r="I210">
        <f t="shared" si="17"/>
        <v>2.3982558139534885E-2</v>
      </c>
      <c r="J210">
        <f t="shared" si="18"/>
        <v>-50</v>
      </c>
      <c r="K210" t="str">
        <f t="shared" si="19"/>
        <v>Jul-2026</v>
      </c>
    </row>
    <row r="211" spans="1:11" x14ac:dyDescent="0.3">
      <c r="A211" s="3">
        <v>46221</v>
      </c>
      <c r="B211" s="2" t="str">
        <f t="shared" si="15"/>
        <v>Jul-2026</v>
      </c>
      <c r="C211">
        <v>11</v>
      </c>
      <c r="D211">
        <v>22</v>
      </c>
      <c r="E211">
        <v>12</v>
      </c>
      <c r="F211" s="1">
        <v>2799</v>
      </c>
      <c r="G211">
        <v>50</v>
      </c>
      <c r="H211">
        <f t="shared" si="16"/>
        <v>0.54545454545454541</v>
      </c>
      <c r="I211">
        <f t="shared" si="17"/>
        <v>1.7863522686673811E-2</v>
      </c>
      <c r="J211">
        <f t="shared" si="18"/>
        <v>-39</v>
      </c>
      <c r="K211" t="str">
        <f t="shared" si="19"/>
        <v>Jul-2026</v>
      </c>
    </row>
    <row r="212" spans="1:11" x14ac:dyDescent="0.3">
      <c r="A212" s="3">
        <v>46222</v>
      </c>
      <c r="B212" s="2" t="str">
        <f t="shared" si="15"/>
        <v>Jul-2026</v>
      </c>
      <c r="C212">
        <v>16</v>
      </c>
      <c r="D212">
        <v>18</v>
      </c>
      <c r="E212">
        <v>15</v>
      </c>
      <c r="F212" s="1">
        <v>2834</v>
      </c>
      <c r="G212">
        <v>63</v>
      </c>
      <c r="H212">
        <f t="shared" si="16"/>
        <v>0.83333333333333337</v>
      </c>
      <c r="I212">
        <f t="shared" si="17"/>
        <v>2.2230063514467185E-2</v>
      </c>
      <c r="J212">
        <f t="shared" si="18"/>
        <v>-47</v>
      </c>
      <c r="K212" t="str">
        <f t="shared" si="19"/>
        <v>Jul-2026</v>
      </c>
    </row>
    <row r="213" spans="1:11" x14ac:dyDescent="0.3">
      <c r="A213" s="3">
        <v>46223</v>
      </c>
      <c r="B213" s="2" t="str">
        <f t="shared" si="15"/>
        <v>Jul-2026</v>
      </c>
      <c r="C213">
        <v>15</v>
      </c>
      <c r="D213">
        <v>13</v>
      </c>
      <c r="E213">
        <v>23</v>
      </c>
      <c r="F213" s="1">
        <v>2878</v>
      </c>
      <c r="G213">
        <v>99</v>
      </c>
      <c r="H213">
        <f t="shared" si="16"/>
        <v>1.7692307692307692</v>
      </c>
      <c r="I213">
        <f t="shared" si="17"/>
        <v>3.4398888116747739E-2</v>
      </c>
      <c r="J213">
        <f t="shared" si="18"/>
        <v>-84</v>
      </c>
      <c r="K213" t="str">
        <f t="shared" si="19"/>
        <v>Jul-2026</v>
      </c>
    </row>
    <row r="214" spans="1:11" x14ac:dyDescent="0.3">
      <c r="A214" s="3">
        <v>46224</v>
      </c>
      <c r="B214" s="2" t="str">
        <f t="shared" si="15"/>
        <v>Jul-2026</v>
      </c>
      <c r="C214">
        <v>25</v>
      </c>
      <c r="D214">
        <v>32</v>
      </c>
      <c r="E214">
        <v>27</v>
      </c>
      <c r="F214" s="1">
        <v>3181</v>
      </c>
      <c r="G214">
        <v>145</v>
      </c>
      <c r="H214">
        <f t="shared" si="16"/>
        <v>0.84375</v>
      </c>
      <c r="I214">
        <f t="shared" si="17"/>
        <v>4.5583149952845015E-2</v>
      </c>
      <c r="J214">
        <f t="shared" si="18"/>
        <v>-120</v>
      </c>
      <c r="K214" t="str">
        <f t="shared" si="19"/>
        <v>Jul-2026</v>
      </c>
    </row>
    <row r="215" spans="1:11" x14ac:dyDescent="0.3">
      <c r="A215" s="3">
        <v>46225</v>
      </c>
      <c r="B215" s="2" t="str">
        <f t="shared" si="15"/>
        <v>Jul-2026</v>
      </c>
      <c r="C215">
        <v>26</v>
      </c>
      <c r="D215">
        <v>36</v>
      </c>
      <c r="E215">
        <v>36</v>
      </c>
      <c r="F215" s="1">
        <v>3290</v>
      </c>
      <c r="G215">
        <v>104</v>
      </c>
      <c r="H215">
        <f t="shared" si="16"/>
        <v>1</v>
      </c>
      <c r="I215">
        <f t="shared" si="17"/>
        <v>3.1610942249240125E-2</v>
      </c>
      <c r="J215">
        <f t="shared" si="18"/>
        <v>-78</v>
      </c>
      <c r="K215" t="str">
        <f t="shared" si="19"/>
        <v>Jul-2026</v>
      </c>
    </row>
    <row r="216" spans="1:11" x14ac:dyDescent="0.3">
      <c r="A216" s="3">
        <v>46226</v>
      </c>
      <c r="B216" s="2" t="str">
        <f t="shared" si="15"/>
        <v>Jul-2026</v>
      </c>
      <c r="C216">
        <v>34</v>
      </c>
      <c r="D216">
        <v>54</v>
      </c>
      <c r="E216">
        <v>29</v>
      </c>
      <c r="F216" s="1">
        <v>3359</v>
      </c>
      <c r="G216">
        <v>74</v>
      </c>
      <c r="H216">
        <f t="shared" si="16"/>
        <v>0.53703703703703709</v>
      </c>
      <c r="I216">
        <f t="shared" si="17"/>
        <v>2.2030366180410838E-2</v>
      </c>
      <c r="J216">
        <f t="shared" si="18"/>
        <v>-40</v>
      </c>
      <c r="K216" t="str">
        <f t="shared" si="19"/>
        <v>Jul-2026</v>
      </c>
    </row>
    <row r="217" spans="1:11" x14ac:dyDescent="0.3">
      <c r="A217" s="3">
        <v>46227</v>
      </c>
      <c r="B217" s="2" t="str">
        <f t="shared" si="15"/>
        <v>Jul-2026</v>
      </c>
      <c r="C217">
        <v>23</v>
      </c>
      <c r="D217">
        <v>45</v>
      </c>
      <c r="E217">
        <v>11</v>
      </c>
      <c r="F217" s="1">
        <v>3403</v>
      </c>
      <c r="G217">
        <v>102</v>
      </c>
      <c r="H217">
        <f t="shared" si="16"/>
        <v>0.24444444444444444</v>
      </c>
      <c r="I217">
        <f t="shared" si="17"/>
        <v>2.9973552747575669E-2</v>
      </c>
      <c r="J217">
        <f t="shared" si="18"/>
        <v>-79</v>
      </c>
      <c r="K217" t="str">
        <f t="shared" si="19"/>
        <v>Jul-2026</v>
      </c>
    </row>
    <row r="218" spans="1:11" x14ac:dyDescent="0.3">
      <c r="A218" s="3">
        <v>46228</v>
      </c>
      <c r="B218" s="2" t="str">
        <f t="shared" si="15"/>
        <v>Jul-2026</v>
      </c>
      <c r="C218">
        <v>20</v>
      </c>
      <c r="D218">
        <v>22</v>
      </c>
      <c r="E218">
        <v>41</v>
      </c>
      <c r="F218" s="1">
        <v>3483</v>
      </c>
      <c r="G218">
        <v>168</v>
      </c>
      <c r="H218">
        <f t="shared" si="16"/>
        <v>1.8636363636363635</v>
      </c>
      <c r="I218">
        <f t="shared" si="17"/>
        <v>4.8234280792420328E-2</v>
      </c>
      <c r="J218">
        <f t="shared" si="18"/>
        <v>-148</v>
      </c>
      <c r="K218" t="str">
        <f t="shared" si="19"/>
        <v>Jul-2026</v>
      </c>
    </row>
    <row r="219" spans="1:11" x14ac:dyDescent="0.3">
      <c r="A219" s="3">
        <v>46229</v>
      </c>
      <c r="B219" s="2" t="str">
        <f t="shared" si="15"/>
        <v>Jul-2026</v>
      </c>
      <c r="C219">
        <v>47</v>
      </c>
      <c r="D219">
        <v>42</v>
      </c>
      <c r="E219">
        <v>47</v>
      </c>
      <c r="F219" s="1">
        <v>3923</v>
      </c>
      <c r="G219">
        <v>159</v>
      </c>
      <c r="H219">
        <f t="shared" si="16"/>
        <v>1.1190476190476191</v>
      </c>
      <c r="I219">
        <f t="shared" si="17"/>
        <v>4.053020647463676E-2</v>
      </c>
      <c r="J219">
        <f t="shared" si="18"/>
        <v>-112</v>
      </c>
      <c r="K219" t="str">
        <f t="shared" si="19"/>
        <v>Jul-2026</v>
      </c>
    </row>
    <row r="220" spans="1:11" x14ac:dyDescent="0.3">
      <c r="A220" s="3">
        <v>46230</v>
      </c>
      <c r="B220" s="2" t="str">
        <f t="shared" si="15"/>
        <v>Jul-2026</v>
      </c>
      <c r="C220">
        <v>32</v>
      </c>
      <c r="D220">
        <v>50</v>
      </c>
      <c r="E220">
        <v>39</v>
      </c>
      <c r="F220" s="1">
        <v>4036</v>
      </c>
      <c r="G220">
        <v>99</v>
      </c>
      <c r="H220">
        <f t="shared" si="16"/>
        <v>0.78</v>
      </c>
      <c r="I220">
        <f t="shared" si="17"/>
        <v>2.4529236868186324E-2</v>
      </c>
      <c r="J220">
        <f t="shared" si="18"/>
        <v>-67</v>
      </c>
      <c r="K220" t="str">
        <f t="shared" si="19"/>
        <v>Jul-2026</v>
      </c>
    </row>
    <row r="221" spans="1:11" x14ac:dyDescent="0.3">
      <c r="A221" s="3">
        <v>46231</v>
      </c>
      <c r="B221" s="2" t="str">
        <f t="shared" si="15"/>
        <v>Jul-2026</v>
      </c>
      <c r="C221">
        <v>32</v>
      </c>
      <c r="D221">
        <v>49</v>
      </c>
      <c r="E221">
        <v>39</v>
      </c>
      <c r="F221" s="1">
        <v>4096</v>
      </c>
      <c r="G221">
        <v>101</v>
      </c>
      <c r="H221">
        <f t="shared" si="16"/>
        <v>0.79591836734693877</v>
      </c>
      <c r="I221">
        <f t="shared" si="17"/>
        <v>2.4658203125E-2</v>
      </c>
      <c r="J221">
        <f t="shared" si="18"/>
        <v>-69</v>
      </c>
      <c r="K221" t="str">
        <f t="shared" si="19"/>
        <v>Jul-2026</v>
      </c>
    </row>
    <row r="222" spans="1:11" x14ac:dyDescent="0.3">
      <c r="A222" s="3">
        <v>46232</v>
      </c>
      <c r="B222" s="2" t="str">
        <f t="shared" si="15"/>
        <v>Jul-2026</v>
      </c>
      <c r="C222">
        <v>33</v>
      </c>
      <c r="D222">
        <v>53</v>
      </c>
      <c r="E222">
        <v>34</v>
      </c>
      <c r="F222" s="1">
        <v>4161</v>
      </c>
      <c r="G222">
        <v>127</v>
      </c>
      <c r="H222">
        <f t="shared" si="16"/>
        <v>0.64150943396226412</v>
      </c>
      <c r="I222">
        <f t="shared" si="17"/>
        <v>3.0521509252583512E-2</v>
      </c>
      <c r="J222">
        <f t="shared" si="18"/>
        <v>-94</v>
      </c>
      <c r="K222" t="str">
        <f t="shared" si="19"/>
        <v>Jul-2026</v>
      </c>
    </row>
    <row r="223" spans="1:11" x14ac:dyDescent="0.3">
      <c r="A223" s="3">
        <v>46233</v>
      </c>
      <c r="B223" s="2" t="str">
        <f t="shared" si="15"/>
        <v>Jul-2026</v>
      </c>
      <c r="C223">
        <v>29</v>
      </c>
      <c r="D223">
        <v>51</v>
      </c>
      <c r="E223">
        <v>11</v>
      </c>
      <c r="F223" s="1">
        <v>4241</v>
      </c>
      <c r="G223">
        <v>182</v>
      </c>
      <c r="H223">
        <f t="shared" si="16"/>
        <v>0.21568627450980393</v>
      </c>
      <c r="I223">
        <f t="shared" si="17"/>
        <v>4.2914406979485974E-2</v>
      </c>
      <c r="J223">
        <f t="shared" si="18"/>
        <v>-153</v>
      </c>
      <c r="K223" t="str">
        <f t="shared" si="19"/>
        <v>Jul-2026</v>
      </c>
    </row>
    <row r="224" spans="1:11" x14ac:dyDescent="0.3">
      <c r="A224" s="3">
        <v>46234</v>
      </c>
      <c r="B224" s="2" t="str">
        <f t="shared" si="15"/>
        <v>Jul-2026</v>
      </c>
      <c r="C224">
        <v>91</v>
      </c>
      <c r="D224">
        <v>75</v>
      </c>
      <c r="E224">
        <v>97</v>
      </c>
      <c r="F224" s="1">
        <v>4621</v>
      </c>
      <c r="G224">
        <v>174</v>
      </c>
      <c r="H224">
        <f t="shared" si="16"/>
        <v>1.2933333333333332</v>
      </c>
      <c r="I224">
        <f t="shared" si="17"/>
        <v>3.7654187405323523E-2</v>
      </c>
      <c r="J224">
        <f t="shared" si="18"/>
        <v>-83</v>
      </c>
      <c r="K224" t="str">
        <f t="shared" si="19"/>
        <v>Jul-2026</v>
      </c>
    </row>
    <row r="225" spans="1:11" x14ac:dyDescent="0.3">
      <c r="A225" s="3">
        <v>46235</v>
      </c>
      <c r="B225" s="2" t="str">
        <f t="shared" si="15"/>
        <v>Aug-2026</v>
      </c>
      <c r="C225">
        <v>62</v>
      </c>
      <c r="D225">
        <v>97</v>
      </c>
      <c r="E225">
        <v>52</v>
      </c>
      <c r="F225" s="1">
        <v>4717</v>
      </c>
      <c r="G225">
        <v>83</v>
      </c>
      <c r="H225">
        <f t="shared" si="16"/>
        <v>0.53608247422680411</v>
      </c>
      <c r="I225">
        <f t="shared" si="17"/>
        <v>1.7595929616281536E-2</v>
      </c>
      <c r="J225">
        <f t="shared" si="18"/>
        <v>-21</v>
      </c>
      <c r="K225" t="str">
        <f t="shared" si="19"/>
        <v>Aug-2026</v>
      </c>
    </row>
    <row r="226" spans="1:11" x14ac:dyDescent="0.3">
      <c r="A226" s="3">
        <v>46236</v>
      </c>
      <c r="B226" s="2" t="str">
        <f t="shared" si="15"/>
        <v>Aug-2026</v>
      </c>
      <c r="C226">
        <v>59</v>
      </c>
      <c r="D226">
        <v>64</v>
      </c>
      <c r="E226">
        <v>117</v>
      </c>
      <c r="F226" s="1">
        <v>4728</v>
      </c>
      <c r="G226">
        <v>54</v>
      </c>
      <c r="H226">
        <f t="shared" si="16"/>
        <v>1.828125</v>
      </c>
      <c r="I226">
        <f t="shared" si="17"/>
        <v>1.1421319796954314E-2</v>
      </c>
      <c r="J226">
        <f t="shared" si="18"/>
        <v>5</v>
      </c>
      <c r="K226" t="str">
        <f t="shared" si="19"/>
        <v>Aug-2026</v>
      </c>
    </row>
    <row r="227" spans="1:11" x14ac:dyDescent="0.3">
      <c r="A227" s="3">
        <v>46237</v>
      </c>
      <c r="B227" s="2" t="str">
        <f t="shared" si="15"/>
        <v>Aug-2026</v>
      </c>
      <c r="C227">
        <v>84</v>
      </c>
      <c r="D227">
        <v>118</v>
      </c>
      <c r="E227">
        <v>136</v>
      </c>
      <c r="F227" s="1">
        <v>4638</v>
      </c>
      <c r="G227">
        <v>127</v>
      </c>
      <c r="H227">
        <f t="shared" si="16"/>
        <v>1.152542372881356</v>
      </c>
      <c r="I227">
        <f t="shared" si="17"/>
        <v>2.7382492453643811E-2</v>
      </c>
      <c r="J227">
        <f t="shared" si="18"/>
        <v>-43</v>
      </c>
      <c r="K227" t="str">
        <f t="shared" si="19"/>
        <v>Aug-2026</v>
      </c>
    </row>
    <row r="228" spans="1:11" x14ac:dyDescent="0.3">
      <c r="A228" s="3">
        <v>46238</v>
      </c>
      <c r="B228" s="2" t="str">
        <f t="shared" si="15"/>
        <v>Aug-2026</v>
      </c>
      <c r="C228">
        <v>86</v>
      </c>
      <c r="D228">
        <v>152</v>
      </c>
      <c r="E228">
        <v>168</v>
      </c>
      <c r="F228" s="1">
        <v>4628</v>
      </c>
      <c r="G228">
        <v>176</v>
      </c>
      <c r="H228">
        <f t="shared" si="16"/>
        <v>1.1052631578947369</v>
      </c>
      <c r="I228">
        <f t="shared" si="17"/>
        <v>3.8029386343993082E-2</v>
      </c>
      <c r="J228">
        <f t="shared" si="18"/>
        <v>-90</v>
      </c>
      <c r="K228" t="str">
        <f t="shared" si="19"/>
        <v>Aug-2026</v>
      </c>
    </row>
    <row r="229" spans="1:11" x14ac:dyDescent="0.3">
      <c r="A229" s="3">
        <v>46239</v>
      </c>
      <c r="B229" s="2" t="str">
        <f t="shared" si="15"/>
        <v>Aug-2026</v>
      </c>
      <c r="C229">
        <v>106</v>
      </c>
      <c r="D229">
        <v>196</v>
      </c>
      <c r="E229">
        <v>131</v>
      </c>
      <c r="F229" s="1">
        <v>4881</v>
      </c>
      <c r="G229">
        <v>159</v>
      </c>
      <c r="H229">
        <f t="shared" si="16"/>
        <v>0.66836734693877553</v>
      </c>
      <c r="I229">
        <f t="shared" si="17"/>
        <v>3.2575291948371235E-2</v>
      </c>
      <c r="J229">
        <f t="shared" si="18"/>
        <v>-53</v>
      </c>
      <c r="K229" t="str">
        <f t="shared" si="19"/>
        <v>Aug-2026</v>
      </c>
    </row>
    <row r="230" spans="1:11" x14ac:dyDescent="0.3">
      <c r="A230" s="3">
        <v>46240</v>
      </c>
      <c r="B230" s="2" t="str">
        <f t="shared" si="15"/>
        <v>Aug-2026</v>
      </c>
      <c r="C230">
        <v>113</v>
      </c>
      <c r="D230">
        <v>162</v>
      </c>
      <c r="E230">
        <v>107</v>
      </c>
      <c r="F230" s="1">
        <v>4903</v>
      </c>
      <c r="G230">
        <v>164</v>
      </c>
      <c r="H230">
        <f t="shared" si="16"/>
        <v>0.66049382716049387</v>
      </c>
      <c r="I230">
        <f t="shared" si="17"/>
        <v>3.3448908831327756E-2</v>
      </c>
      <c r="J230">
        <f t="shared" si="18"/>
        <v>-51</v>
      </c>
      <c r="K230" t="str">
        <f t="shared" si="19"/>
        <v>Aug-2026</v>
      </c>
    </row>
    <row r="231" spans="1:11" x14ac:dyDescent="0.3">
      <c r="A231" s="3">
        <v>46241</v>
      </c>
      <c r="B231" s="2" t="str">
        <f t="shared" si="15"/>
        <v>Aug-2026</v>
      </c>
      <c r="C231">
        <v>92</v>
      </c>
      <c r="D231">
        <v>124</v>
      </c>
      <c r="E231">
        <v>93</v>
      </c>
      <c r="F231" s="1">
        <v>4957</v>
      </c>
      <c r="G231">
        <v>139</v>
      </c>
      <c r="H231">
        <f t="shared" si="16"/>
        <v>0.75</v>
      </c>
      <c r="I231">
        <f t="shared" si="17"/>
        <v>2.8041153923744198E-2</v>
      </c>
      <c r="J231">
        <f t="shared" si="18"/>
        <v>-47</v>
      </c>
      <c r="K231" t="str">
        <f t="shared" si="19"/>
        <v>Aug-2026</v>
      </c>
    </row>
    <row r="232" spans="1:11" x14ac:dyDescent="0.3">
      <c r="A232" s="3">
        <v>46242</v>
      </c>
      <c r="B232" s="2" t="str">
        <f t="shared" si="15"/>
        <v>Aug-2026</v>
      </c>
      <c r="C232">
        <v>68</v>
      </c>
      <c r="D232">
        <v>107</v>
      </c>
      <c r="E232">
        <v>102</v>
      </c>
      <c r="F232" s="1">
        <v>5019</v>
      </c>
      <c r="G232">
        <v>181</v>
      </c>
      <c r="H232">
        <f t="shared" si="16"/>
        <v>0.95327102803738317</v>
      </c>
      <c r="I232">
        <f t="shared" si="17"/>
        <v>3.6062960749153217E-2</v>
      </c>
      <c r="J232">
        <f t="shared" si="18"/>
        <v>-113</v>
      </c>
      <c r="K232" t="str">
        <f t="shared" si="19"/>
        <v>Aug-2026</v>
      </c>
    </row>
    <row r="233" spans="1:11" x14ac:dyDescent="0.3">
      <c r="A233" s="3">
        <v>46243</v>
      </c>
      <c r="B233" s="2" t="str">
        <f t="shared" si="15"/>
        <v>Aug-2026</v>
      </c>
      <c r="C233">
        <v>74</v>
      </c>
      <c r="D233">
        <v>103</v>
      </c>
      <c r="E233">
        <v>80</v>
      </c>
      <c r="F233" s="1">
        <v>5092</v>
      </c>
      <c r="G233">
        <v>235</v>
      </c>
      <c r="H233">
        <f t="shared" si="16"/>
        <v>0.77669902912621358</v>
      </c>
      <c r="I233">
        <f t="shared" si="17"/>
        <v>4.6150824823252161E-2</v>
      </c>
      <c r="J233">
        <f t="shared" si="18"/>
        <v>-161</v>
      </c>
      <c r="K233" t="str">
        <f t="shared" si="19"/>
        <v>Aug-2026</v>
      </c>
    </row>
    <row r="234" spans="1:11" x14ac:dyDescent="0.3">
      <c r="A234" s="3">
        <v>46244</v>
      </c>
      <c r="B234" s="2" t="str">
        <f t="shared" si="15"/>
        <v>Aug-2026</v>
      </c>
      <c r="C234">
        <v>56</v>
      </c>
      <c r="D234">
        <v>82</v>
      </c>
      <c r="E234">
        <v>68</v>
      </c>
      <c r="F234" s="1">
        <v>5507</v>
      </c>
      <c r="G234">
        <v>164</v>
      </c>
      <c r="H234">
        <f t="shared" si="16"/>
        <v>0.82926829268292679</v>
      </c>
      <c r="I234">
        <f t="shared" si="17"/>
        <v>2.9780279644089341E-2</v>
      </c>
      <c r="J234">
        <f t="shared" si="18"/>
        <v>-108</v>
      </c>
      <c r="K234" t="str">
        <f t="shared" si="19"/>
        <v>Aug-2026</v>
      </c>
    </row>
    <row r="235" spans="1:11" x14ac:dyDescent="0.3">
      <c r="A235" s="3">
        <v>46245</v>
      </c>
      <c r="B235" s="2" t="str">
        <f t="shared" si="15"/>
        <v>Aug-2026</v>
      </c>
      <c r="C235">
        <v>38</v>
      </c>
      <c r="D235">
        <v>80</v>
      </c>
      <c r="E235">
        <v>82</v>
      </c>
      <c r="F235" s="1">
        <v>5605</v>
      </c>
      <c r="G235">
        <v>184</v>
      </c>
      <c r="H235">
        <f t="shared" si="16"/>
        <v>1.0249999999999999</v>
      </c>
      <c r="I235">
        <f t="shared" si="17"/>
        <v>3.2827832292595893E-2</v>
      </c>
      <c r="J235">
        <f t="shared" si="18"/>
        <v>-146</v>
      </c>
      <c r="K235" t="str">
        <f t="shared" si="19"/>
        <v>Aug-2026</v>
      </c>
    </row>
    <row r="236" spans="1:11" x14ac:dyDescent="0.3">
      <c r="A236" s="3">
        <v>46246</v>
      </c>
      <c r="B236" s="2" t="str">
        <f t="shared" si="15"/>
        <v>Aug-2026</v>
      </c>
      <c r="C236">
        <v>65</v>
      </c>
      <c r="D236">
        <v>83</v>
      </c>
      <c r="E236">
        <v>65</v>
      </c>
      <c r="F236" s="1">
        <v>5703</v>
      </c>
      <c r="G236">
        <v>133</v>
      </c>
      <c r="H236">
        <f t="shared" si="16"/>
        <v>0.7831325301204819</v>
      </c>
      <c r="I236">
        <f t="shared" si="17"/>
        <v>2.332105909170612E-2</v>
      </c>
      <c r="J236">
        <f t="shared" si="18"/>
        <v>-68</v>
      </c>
      <c r="K236" t="str">
        <f t="shared" si="19"/>
        <v>Aug-2026</v>
      </c>
    </row>
    <row r="237" spans="1:11" x14ac:dyDescent="0.3">
      <c r="A237" s="3">
        <v>46247</v>
      </c>
      <c r="B237" s="2" t="str">
        <f t="shared" si="15"/>
        <v>Aug-2026</v>
      </c>
      <c r="C237">
        <v>41</v>
      </c>
      <c r="D237">
        <v>60</v>
      </c>
      <c r="E237">
        <v>71</v>
      </c>
      <c r="F237" s="1">
        <v>5769</v>
      </c>
      <c r="G237">
        <v>190</v>
      </c>
      <c r="H237">
        <f t="shared" si="16"/>
        <v>1.1833333333333333</v>
      </c>
      <c r="I237">
        <f t="shared" si="17"/>
        <v>3.2934650719362107E-2</v>
      </c>
      <c r="J237">
        <f t="shared" si="18"/>
        <v>-149</v>
      </c>
      <c r="K237" t="str">
        <f t="shared" si="19"/>
        <v>Aug-2026</v>
      </c>
    </row>
    <row r="238" spans="1:11" x14ac:dyDescent="0.3">
      <c r="A238" s="3">
        <v>46248</v>
      </c>
      <c r="B238" s="2" t="str">
        <f t="shared" si="15"/>
        <v>Aug-2026</v>
      </c>
      <c r="C238">
        <v>43</v>
      </c>
      <c r="D238">
        <v>73</v>
      </c>
      <c r="E238">
        <v>64</v>
      </c>
      <c r="F238" s="1">
        <v>5882</v>
      </c>
      <c r="G238">
        <v>185</v>
      </c>
      <c r="H238">
        <f t="shared" si="16"/>
        <v>0.87671232876712324</v>
      </c>
      <c r="I238">
        <f t="shared" si="17"/>
        <v>3.1451887113226794E-2</v>
      </c>
      <c r="J238">
        <f t="shared" si="18"/>
        <v>-142</v>
      </c>
      <c r="K238" t="str">
        <f t="shared" si="19"/>
        <v>Aug-2026</v>
      </c>
    </row>
    <row r="239" spans="1:11" x14ac:dyDescent="0.3">
      <c r="A239" s="3">
        <v>46249</v>
      </c>
      <c r="B239" s="2" t="str">
        <f t="shared" si="15"/>
        <v>Aug-2026</v>
      </c>
      <c r="C239">
        <v>35</v>
      </c>
      <c r="D239">
        <v>70</v>
      </c>
      <c r="E239">
        <v>53</v>
      </c>
      <c r="F239" s="1">
        <v>6292</v>
      </c>
      <c r="G239">
        <v>170</v>
      </c>
      <c r="H239">
        <f t="shared" si="16"/>
        <v>0.75714285714285712</v>
      </c>
      <c r="I239">
        <f t="shared" si="17"/>
        <v>2.7018436109345199E-2</v>
      </c>
      <c r="J239">
        <f t="shared" si="18"/>
        <v>-135</v>
      </c>
      <c r="K239" t="str">
        <f t="shared" si="19"/>
        <v>Aug-2026</v>
      </c>
    </row>
    <row r="240" spans="1:11" x14ac:dyDescent="0.3">
      <c r="A240" s="3">
        <v>46250</v>
      </c>
      <c r="B240" s="2" t="str">
        <f t="shared" si="15"/>
        <v>Aug-2026</v>
      </c>
      <c r="C240">
        <v>25</v>
      </c>
      <c r="D240">
        <v>66</v>
      </c>
      <c r="E240">
        <v>94</v>
      </c>
      <c r="F240" s="1">
        <v>6405</v>
      </c>
      <c r="G240">
        <v>144</v>
      </c>
      <c r="H240">
        <f t="shared" si="16"/>
        <v>1.4242424242424243</v>
      </c>
      <c r="I240">
        <f t="shared" si="17"/>
        <v>2.2482435597189696E-2</v>
      </c>
      <c r="J240">
        <f t="shared" si="18"/>
        <v>-119</v>
      </c>
      <c r="K240" t="str">
        <f t="shared" si="19"/>
        <v>Aug-2026</v>
      </c>
    </row>
    <row r="241" spans="1:11" x14ac:dyDescent="0.3">
      <c r="A241" s="3">
        <v>46251</v>
      </c>
      <c r="B241" s="2" t="str">
        <f t="shared" si="15"/>
        <v>Aug-2026</v>
      </c>
      <c r="C241">
        <v>99</v>
      </c>
      <c r="D241">
        <v>156</v>
      </c>
      <c r="E241">
        <v>139</v>
      </c>
      <c r="F241" s="1">
        <v>6454</v>
      </c>
      <c r="G241">
        <v>177</v>
      </c>
      <c r="H241">
        <f t="shared" si="16"/>
        <v>0.89102564102564108</v>
      </c>
      <c r="I241">
        <f t="shared" si="17"/>
        <v>2.742485280446235E-2</v>
      </c>
      <c r="J241">
        <f t="shared" si="18"/>
        <v>-78</v>
      </c>
      <c r="K241" t="str">
        <f t="shared" si="19"/>
        <v>Aug-2026</v>
      </c>
    </row>
    <row r="242" spans="1:11" x14ac:dyDescent="0.3">
      <c r="A242" s="3">
        <v>46252</v>
      </c>
      <c r="B242" s="2" t="str">
        <f t="shared" si="15"/>
        <v>Aug-2026</v>
      </c>
      <c r="C242">
        <v>107</v>
      </c>
      <c r="D242">
        <v>170</v>
      </c>
      <c r="E242">
        <v>133</v>
      </c>
      <c r="F242" s="1">
        <v>6465</v>
      </c>
      <c r="G242">
        <v>216</v>
      </c>
      <c r="H242">
        <f t="shared" si="16"/>
        <v>0.78235294117647058</v>
      </c>
      <c r="I242">
        <f t="shared" si="17"/>
        <v>3.3410672853828309E-2</v>
      </c>
      <c r="J242">
        <f t="shared" si="18"/>
        <v>-109</v>
      </c>
      <c r="K242" t="str">
        <f t="shared" si="19"/>
        <v>Aug-2026</v>
      </c>
    </row>
    <row r="243" spans="1:11" x14ac:dyDescent="0.3">
      <c r="A243" s="3">
        <v>46253</v>
      </c>
      <c r="B243" s="2" t="str">
        <f t="shared" si="15"/>
        <v>Aug-2026</v>
      </c>
      <c r="C243">
        <v>80</v>
      </c>
      <c r="D243">
        <v>122</v>
      </c>
      <c r="E243">
        <v>152</v>
      </c>
      <c r="F243" s="1">
        <v>6707</v>
      </c>
      <c r="G243">
        <v>135</v>
      </c>
      <c r="H243">
        <f t="shared" si="16"/>
        <v>1.2459016393442623</v>
      </c>
      <c r="I243">
        <f t="shared" si="17"/>
        <v>2.0128224243327865E-2</v>
      </c>
      <c r="J243">
        <f t="shared" si="18"/>
        <v>-55</v>
      </c>
      <c r="K243" t="str">
        <f t="shared" si="19"/>
        <v>Aug-2026</v>
      </c>
    </row>
    <row r="244" spans="1:11" x14ac:dyDescent="0.3">
      <c r="A244" s="3">
        <v>46254</v>
      </c>
      <c r="B244" s="2" t="str">
        <f t="shared" si="15"/>
        <v>Aug-2026</v>
      </c>
      <c r="C244">
        <v>57</v>
      </c>
      <c r="D244">
        <v>162</v>
      </c>
      <c r="E244">
        <v>193</v>
      </c>
      <c r="F244" s="1">
        <v>6689</v>
      </c>
      <c r="G244">
        <v>107</v>
      </c>
      <c r="H244">
        <f t="shared" si="16"/>
        <v>1.191358024691358</v>
      </c>
      <c r="I244">
        <f t="shared" si="17"/>
        <v>1.5996412019733893E-2</v>
      </c>
      <c r="J244">
        <f t="shared" si="18"/>
        <v>-50</v>
      </c>
      <c r="K244" t="str">
        <f t="shared" si="19"/>
        <v>Aug-2026</v>
      </c>
    </row>
    <row r="245" spans="1:11" x14ac:dyDescent="0.3">
      <c r="A245" s="3">
        <v>46255</v>
      </c>
      <c r="B245" s="2" t="str">
        <f t="shared" si="15"/>
        <v>Aug-2026</v>
      </c>
      <c r="C245">
        <v>161</v>
      </c>
      <c r="D245">
        <v>304</v>
      </c>
      <c r="E245">
        <v>211</v>
      </c>
      <c r="F245" s="1">
        <v>6622</v>
      </c>
      <c r="G245">
        <v>155</v>
      </c>
      <c r="H245">
        <f t="shared" si="16"/>
        <v>0.69407894736842102</v>
      </c>
      <c r="I245">
        <f t="shared" si="17"/>
        <v>2.3406825732407127E-2</v>
      </c>
      <c r="J245">
        <f t="shared" si="18"/>
        <v>6</v>
      </c>
      <c r="K245" t="str">
        <f t="shared" si="19"/>
        <v>Aug-2026</v>
      </c>
    </row>
    <row r="246" spans="1:11" x14ac:dyDescent="0.3">
      <c r="A246" s="3">
        <v>46256</v>
      </c>
      <c r="B246" s="2" t="str">
        <f t="shared" si="15"/>
        <v>Aug-2026</v>
      </c>
      <c r="C246">
        <v>205</v>
      </c>
      <c r="D246">
        <v>294</v>
      </c>
      <c r="E246">
        <v>177</v>
      </c>
      <c r="F246" s="1">
        <v>6548</v>
      </c>
      <c r="G246">
        <v>231</v>
      </c>
      <c r="H246">
        <f t="shared" si="16"/>
        <v>0.60204081632653061</v>
      </c>
      <c r="I246">
        <f t="shared" si="17"/>
        <v>3.5277947464874768E-2</v>
      </c>
      <c r="J246">
        <f t="shared" si="18"/>
        <v>-26</v>
      </c>
      <c r="K246" t="str">
        <f t="shared" si="19"/>
        <v>Aug-2026</v>
      </c>
    </row>
    <row r="247" spans="1:11" x14ac:dyDescent="0.3">
      <c r="A247" s="3">
        <v>46257</v>
      </c>
      <c r="B247" s="2" t="str">
        <f t="shared" si="15"/>
        <v>Aug-2026</v>
      </c>
      <c r="C247">
        <v>100</v>
      </c>
      <c r="D247">
        <v>255</v>
      </c>
      <c r="E247">
        <v>236</v>
      </c>
      <c r="F247" s="1">
        <v>6595</v>
      </c>
      <c r="G247">
        <v>268</v>
      </c>
      <c r="H247">
        <f t="shared" si="16"/>
        <v>0.92549019607843142</v>
      </c>
      <c r="I247">
        <f t="shared" si="17"/>
        <v>4.0636846095526917E-2</v>
      </c>
      <c r="J247">
        <f t="shared" si="18"/>
        <v>-168</v>
      </c>
      <c r="K247" t="str">
        <f t="shared" si="19"/>
        <v>Aug-2026</v>
      </c>
    </row>
    <row r="248" spans="1:11" x14ac:dyDescent="0.3">
      <c r="A248" s="3">
        <v>46258</v>
      </c>
      <c r="B248" s="2" t="str">
        <f t="shared" si="15"/>
        <v>Aug-2026</v>
      </c>
      <c r="C248">
        <v>269</v>
      </c>
      <c r="D248">
        <v>412</v>
      </c>
      <c r="E248">
        <v>204</v>
      </c>
      <c r="F248" s="1">
        <v>6600</v>
      </c>
      <c r="G248">
        <v>238</v>
      </c>
      <c r="H248">
        <f t="shared" si="16"/>
        <v>0.49514563106796117</v>
      </c>
      <c r="I248">
        <f t="shared" si="17"/>
        <v>3.6060606060606064E-2</v>
      </c>
      <c r="J248">
        <f t="shared" si="18"/>
        <v>31</v>
      </c>
      <c r="K248" t="str">
        <f t="shared" si="19"/>
        <v>Aug-2026</v>
      </c>
    </row>
    <row r="249" spans="1:11" x14ac:dyDescent="0.3">
      <c r="A249" s="3">
        <v>46259</v>
      </c>
      <c r="B249" s="2" t="str">
        <f t="shared" si="15"/>
        <v>Aug-2026</v>
      </c>
      <c r="C249">
        <v>168</v>
      </c>
      <c r="D249">
        <v>285</v>
      </c>
      <c r="E249">
        <v>210</v>
      </c>
      <c r="F249" s="1">
        <v>6598</v>
      </c>
      <c r="G249">
        <v>134</v>
      </c>
      <c r="H249">
        <f t="shared" si="16"/>
        <v>0.73684210526315785</v>
      </c>
      <c r="I249">
        <f t="shared" si="17"/>
        <v>2.0309184601394362E-2</v>
      </c>
      <c r="J249">
        <f t="shared" si="18"/>
        <v>34</v>
      </c>
      <c r="K249" t="str">
        <f t="shared" si="19"/>
        <v>Aug-2026</v>
      </c>
    </row>
    <row r="250" spans="1:11" x14ac:dyDescent="0.3">
      <c r="A250" s="3">
        <v>46260</v>
      </c>
      <c r="B250" s="2" t="str">
        <f t="shared" si="15"/>
        <v>Aug-2026</v>
      </c>
      <c r="C250">
        <v>187</v>
      </c>
      <c r="D250">
        <v>310</v>
      </c>
      <c r="E250">
        <v>247</v>
      </c>
      <c r="F250" s="1">
        <v>6506</v>
      </c>
      <c r="G250">
        <v>151</v>
      </c>
      <c r="H250">
        <f t="shared" si="16"/>
        <v>0.79677419354838708</v>
      </c>
      <c r="I250">
        <f t="shared" si="17"/>
        <v>2.320934521979711E-2</v>
      </c>
      <c r="J250">
        <f t="shared" si="18"/>
        <v>36</v>
      </c>
      <c r="K250" t="str">
        <f t="shared" si="19"/>
        <v>Aug-2026</v>
      </c>
    </row>
    <row r="251" spans="1:11" x14ac:dyDescent="0.3">
      <c r="A251" s="3">
        <v>46261</v>
      </c>
      <c r="B251" s="2" t="str">
        <f t="shared" si="15"/>
        <v>Aug-2026</v>
      </c>
      <c r="C251">
        <v>133</v>
      </c>
      <c r="D251">
        <v>287</v>
      </c>
      <c r="E251">
        <v>189</v>
      </c>
      <c r="F251" s="1">
        <v>6454</v>
      </c>
      <c r="G251">
        <v>149</v>
      </c>
      <c r="H251">
        <f t="shared" si="16"/>
        <v>0.65853658536585369</v>
      </c>
      <c r="I251">
        <f t="shared" si="17"/>
        <v>2.30864580105361E-2</v>
      </c>
      <c r="J251">
        <f t="shared" si="18"/>
        <v>-16</v>
      </c>
      <c r="K251" t="str">
        <f t="shared" si="19"/>
        <v>Aug-2026</v>
      </c>
    </row>
    <row r="252" spans="1:11" x14ac:dyDescent="0.3">
      <c r="A252" s="3">
        <v>46262</v>
      </c>
      <c r="B252" s="2" t="str">
        <f t="shared" si="15"/>
        <v>Aug-2026</v>
      </c>
      <c r="C252">
        <v>180</v>
      </c>
      <c r="D252">
        <v>337</v>
      </c>
      <c r="E252">
        <v>219</v>
      </c>
      <c r="F252" s="1">
        <v>6408</v>
      </c>
      <c r="G252">
        <v>224</v>
      </c>
      <c r="H252">
        <f t="shared" si="16"/>
        <v>0.64985163204747776</v>
      </c>
      <c r="I252">
        <f t="shared" si="17"/>
        <v>3.495630461922597E-2</v>
      </c>
      <c r="J252">
        <f t="shared" si="18"/>
        <v>-44</v>
      </c>
      <c r="K252" t="str">
        <f t="shared" si="19"/>
        <v>Aug-2026</v>
      </c>
    </row>
    <row r="253" spans="1:11" x14ac:dyDescent="0.3">
      <c r="A253" s="3">
        <v>46263</v>
      </c>
      <c r="B253" s="2" t="str">
        <f t="shared" si="15"/>
        <v>Aug-2026</v>
      </c>
      <c r="C253">
        <v>153</v>
      </c>
      <c r="D253">
        <v>253</v>
      </c>
      <c r="E253">
        <v>286</v>
      </c>
      <c r="F253" s="1">
        <v>6481</v>
      </c>
      <c r="G253">
        <v>194</v>
      </c>
      <c r="H253">
        <f t="shared" si="16"/>
        <v>1.1304347826086956</v>
      </c>
      <c r="I253">
        <f t="shared" si="17"/>
        <v>2.9933652214164479E-2</v>
      </c>
      <c r="J253">
        <f t="shared" si="18"/>
        <v>-41</v>
      </c>
      <c r="K253" t="str">
        <f t="shared" si="19"/>
        <v>Aug-2026</v>
      </c>
    </row>
    <row r="254" spans="1:11" x14ac:dyDescent="0.3">
      <c r="A254" s="3">
        <v>46264</v>
      </c>
      <c r="B254" s="2" t="str">
        <f t="shared" si="15"/>
        <v>Aug-2026</v>
      </c>
      <c r="C254">
        <v>209</v>
      </c>
      <c r="D254">
        <v>353</v>
      </c>
      <c r="E254">
        <v>232</v>
      </c>
      <c r="F254" s="1">
        <v>6402</v>
      </c>
      <c r="G254">
        <v>152</v>
      </c>
      <c r="H254">
        <f t="shared" si="16"/>
        <v>0.65722379603399439</v>
      </c>
      <c r="I254">
        <f t="shared" si="17"/>
        <v>2.3742580443611373E-2</v>
      </c>
      <c r="J254">
        <f t="shared" si="18"/>
        <v>57</v>
      </c>
      <c r="K254" t="str">
        <f t="shared" si="19"/>
        <v>Aug-2026</v>
      </c>
    </row>
    <row r="255" spans="1:11" x14ac:dyDescent="0.3">
      <c r="A255" s="3">
        <v>46265</v>
      </c>
      <c r="B255" s="2" t="str">
        <f t="shared" si="15"/>
        <v>Aug-2026</v>
      </c>
      <c r="C255">
        <v>167</v>
      </c>
      <c r="D255">
        <v>326</v>
      </c>
      <c r="E255">
        <v>213</v>
      </c>
      <c r="F255" s="1">
        <v>6310</v>
      </c>
      <c r="G255">
        <v>149</v>
      </c>
      <c r="H255">
        <f t="shared" si="16"/>
        <v>0.65337423312883436</v>
      </c>
      <c r="I255">
        <f t="shared" si="17"/>
        <v>2.3613312202852614E-2</v>
      </c>
      <c r="J255">
        <f t="shared" si="18"/>
        <v>18</v>
      </c>
      <c r="K255" t="str">
        <f t="shared" si="19"/>
        <v>Aug-2026</v>
      </c>
    </row>
    <row r="256" spans="1:11" x14ac:dyDescent="0.3">
      <c r="A256" s="3">
        <v>46266</v>
      </c>
      <c r="B256" s="2" t="str">
        <f t="shared" si="15"/>
        <v>Sep-2026</v>
      </c>
      <c r="C256">
        <v>224</v>
      </c>
      <c r="D256">
        <v>315</v>
      </c>
      <c r="E256">
        <v>152</v>
      </c>
      <c r="F256" s="1">
        <v>6268</v>
      </c>
      <c r="G256">
        <v>174</v>
      </c>
      <c r="H256">
        <f t="shared" si="16"/>
        <v>0.48253968253968255</v>
      </c>
      <c r="I256">
        <f t="shared" si="17"/>
        <v>2.7760051052967454E-2</v>
      </c>
      <c r="J256">
        <f t="shared" si="18"/>
        <v>50</v>
      </c>
      <c r="K256" t="str">
        <f t="shared" si="19"/>
        <v>Sep-2026</v>
      </c>
    </row>
    <row r="257" spans="1:11" x14ac:dyDescent="0.3">
      <c r="A257" s="3">
        <v>46267</v>
      </c>
      <c r="B257" s="2" t="str">
        <f t="shared" si="15"/>
        <v>Sep-2026</v>
      </c>
      <c r="C257">
        <v>132</v>
      </c>
      <c r="D257">
        <v>243</v>
      </c>
      <c r="E257">
        <v>183</v>
      </c>
      <c r="F257" s="1">
        <v>6286</v>
      </c>
      <c r="G257">
        <v>172</v>
      </c>
      <c r="H257">
        <f t="shared" si="16"/>
        <v>0.75308641975308643</v>
      </c>
      <c r="I257">
        <f t="shared" si="17"/>
        <v>2.7362392618517341E-2</v>
      </c>
      <c r="J257">
        <f t="shared" si="18"/>
        <v>-40</v>
      </c>
      <c r="K257" t="str">
        <f t="shared" si="19"/>
        <v>Sep-2026</v>
      </c>
    </row>
    <row r="258" spans="1:11" x14ac:dyDescent="0.3">
      <c r="A258" s="3">
        <v>46268</v>
      </c>
      <c r="B258" s="2" t="str">
        <f t="shared" si="15"/>
        <v>Sep-2026</v>
      </c>
      <c r="C258">
        <v>218</v>
      </c>
      <c r="D258">
        <v>283</v>
      </c>
      <c r="E258">
        <v>208</v>
      </c>
      <c r="F258" s="1">
        <v>6310</v>
      </c>
      <c r="G258">
        <v>150</v>
      </c>
      <c r="H258">
        <f t="shared" si="16"/>
        <v>0.73498233215547704</v>
      </c>
      <c r="I258">
        <f t="shared" si="17"/>
        <v>2.3771790808240888E-2</v>
      </c>
      <c r="J258">
        <f t="shared" si="18"/>
        <v>68</v>
      </c>
      <c r="K258" t="str">
        <f t="shared" si="19"/>
        <v>Sep-2026</v>
      </c>
    </row>
    <row r="259" spans="1:11" x14ac:dyDescent="0.3">
      <c r="A259" s="3">
        <v>46269</v>
      </c>
      <c r="B259" s="2" t="str">
        <f t="shared" ref="B259:B322" si="20">TEXT(A259,"mmm-yyyy")</f>
        <v>Sep-2026</v>
      </c>
      <c r="C259">
        <v>118</v>
      </c>
      <c r="D259">
        <v>245</v>
      </c>
      <c r="E259">
        <v>160</v>
      </c>
      <c r="F259" s="1">
        <v>6269</v>
      </c>
      <c r="G259">
        <v>115</v>
      </c>
      <c r="H259">
        <f t="shared" ref="H259:H322" si="21">E259/D259</f>
        <v>0.65306122448979587</v>
      </c>
      <c r="I259">
        <f t="shared" ref="I259:I322" si="22">G259/F259</f>
        <v>1.8344233530068591E-2</v>
      </c>
      <c r="J259">
        <f t="shared" ref="J259:J322" si="23">C259-G259</f>
        <v>3</v>
      </c>
      <c r="K259" t="str">
        <f t="shared" ref="K259:K322" si="24">TEXT(A259,"mmm-yyyy")</f>
        <v>Sep-2026</v>
      </c>
    </row>
    <row r="260" spans="1:11" x14ac:dyDescent="0.3">
      <c r="A260" s="3">
        <v>46270</v>
      </c>
      <c r="B260" s="2" t="str">
        <f t="shared" si="20"/>
        <v>Sep-2026</v>
      </c>
      <c r="C260">
        <v>81</v>
      </c>
      <c r="D260">
        <v>230</v>
      </c>
      <c r="E260">
        <v>242</v>
      </c>
      <c r="F260" s="1">
        <v>6192</v>
      </c>
      <c r="G260">
        <v>107</v>
      </c>
      <c r="H260">
        <f t="shared" si="21"/>
        <v>1.0521739130434782</v>
      </c>
      <c r="I260">
        <f t="shared" si="22"/>
        <v>1.7280361757105941E-2</v>
      </c>
      <c r="J260">
        <f t="shared" si="23"/>
        <v>-26</v>
      </c>
      <c r="K260" t="str">
        <f t="shared" si="24"/>
        <v>Sep-2026</v>
      </c>
    </row>
    <row r="261" spans="1:11" x14ac:dyDescent="0.3">
      <c r="A261" s="3">
        <v>46271</v>
      </c>
      <c r="B261" s="2" t="str">
        <f t="shared" si="20"/>
        <v>Sep-2026</v>
      </c>
      <c r="C261">
        <v>236</v>
      </c>
      <c r="D261">
        <v>330</v>
      </c>
      <c r="E261">
        <v>222</v>
      </c>
      <c r="F261" s="1">
        <v>6061</v>
      </c>
      <c r="G261">
        <v>115</v>
      </c>
      <c r="H261">
        <f t="shared" si="21"/>
        <v>0.67272727272727273</v>
      </c>
      <c r="I261">
        <f t="shared" si="22"/>
        <v>1.8973766705164163E-2</v>
      </c>
      <c r="J261">
        <f t="shared" si="23"/>
        <v>121</v>
      </c>
      <c r="K261" t="str">
        <f t="shared" si="24"/>
        <v>Sep-2026</v>
      </c>
    </row>
    <row r="262" spans="1:11" x14ac:dyDescent="0.3">
      <c r="A262" s="3">
        <v>46272</v>
      </c>
      <c r="B262" s="2" t="str">
        <f t="shared" si="20"/>
        <v>Sep-2026</v>
      </c>
      <c r="C262">
        <v>196</v>
      </c>
      <c r="D262">
        <v>306</v>
      </c>
      <c r="E262">
        <v>187</v>
      </c>
      <c r="F262" s="1">
        <v>5986</v>
      </c>
      <c r="G262">
        <v>149</v>
      </c>
      <c r="H262">
        <f t="shared" si="21"/>
        <v>0.61111111111111116</v>
      </c>
      <c r="I262">
        <f t="shared" si="22"/>
        <v>2.489141329769462E-2</v>
      </c>
      <c r="J262">
        <f t="shared" si="23"/>
        <v>47</v>
      </c>
      <c r="K262" t="str">
        <f t="shared" si="24"/>
        <v>Sep-2026</v>
      </c>
    </row>
    <row r="263" spans="1:11" x14ac:dyDescent="0.3">
      <c r="A263" s="3">
        <v>46273</v>
      </c>
      <c r="B263" s="2" t="str">
        <f t="shared" si="20"/>
        <v>Sep-2026</v>
      </c>
      <c r="C263">
        <v>113</v>
      </c>
      <c r="D263">
        <v>280</v>
      </c>
      <c r="E263">
        <v>237</v>
      </c>
      <c r="F263" s="1">
        <v>5963</v>
      </c>
      <c r="G263">
        <v>143</v>
      </c>
      <c r="H263">
        <f t="shared" si="21"/>
        <v>0.84642857142857142</v>
      </c>
      <c r="I263">
        <f t="shared" si="22"/>
        <v>2.398121750796579E-2</v>
      </c>
      <c r="J263">
        <f t="shared" si="23"/>
        <v>-30</v>
      </c>
      <c r="K263" t="str">
        <f t="shared" si="24"/>
        <v>Sep-2026</v>
      </c>
    </row>
    <row r="264" spans="1:11" x14ac:dyDescent="0.3">
      <c r="A264" s="3">
        <v>46274</v>
      </c>
      <c r="B264" s="2" t="str">
        <f t="shared" si="20"/>
        <v>Sep-2026</v>
      </c>
      <c r="C264">
        <v>239</v>
      </c>
      <c r="D264">
        <v>367</v>
      </c>
      <c r="E264">
        <v>224</v>
      </c>
      <c r="F264" s="1">
        <v>5862</v>
      </c>
      <c r="G264">
        <v>211</v>
      </c>
      <c r="H264">
        <f t="shared" si="21"/>
        <v>0.61035422343324253</v>
      </c>
      <c r="I264">
        <f t="shared" si="22"/>
        <v>3.5994541112248382E-2</v>
      </c>
      <c r="J264">
        <f t="shared" si="23"/>
        <v>28</v>
      </c>
      <c r="K264" t="str">
        <f t="shared" si="24"/>
        <v>Sep-2026</v>
      </c>
    </row>
    <row r="265" spans="1:11" x14ac:dyDescent="0.3">
      <c r="A265" s="3">
        <v>46275</v>
      </c>
      <c r="B265" s="2" t="str">
        <f t="shared" si="20"/>
        <v>Sep-2026</v>
      </c>
      <c r="C265">
        <v>152</v>
      </c>
      <c r="D265">
        <v>272</v>
      </c>
      <c r="E265">
        <v>214</v>
      </c>
      <c r="F265" s="1">
        <v>5826</v>
      </c>
      <c r="G265">
        <v>112</v>
      </c>
      <c r="H265">
        <f t="shared" si="21"/>
        <v>0.78676470588235292</v>
      </c>
      <c r="I265">
        <f t="shared" si="22"/>
        <v>1.9224167524888432E-2</v>
      </c>
      <c r="J265">
        <f t="shared" si="23"/>
        <v>40</v>
      </c>
      <c r="K265" t="str">
        <f t="shared" si="24"/>
        <v>Sep-2026</v>
      </c>
    </row>
    <row r="266" spans="1:11" x14ac:dyDescent="0.3">
      <c r="A266" s="3">
        <v>46276</v>
      </c>
      <c r="B266" s="2" t="str">
        <f t="shared" si="20"/>
        <v>Sep-2026</v>
      </c>
      <c r="C266">
        <v>170</v>
      </c>
      <c r="D266">
        <v>297</v>
      </c>
      <c r="E266">
        <v>196</v>
      </c>
      <c r="F266" s="1">
        <v>5715</v>
      </c>
      <c r="G266">
        <v>129</v>
      </c>
      <c r="H266">
        <f t="shared" si="21"/>
        <v>0.65993265993265993</v>
      </c>
      <c r="I266">
        <f t="shared" si="22"/>
        <v>2.2572178477690288E-2</v>
      </c>
      <c r="J266">
        <f t="shared" si="23"/>
        <v>41</v>
      </c>
      <c r="K266" t="str">
        <f t="shared" si="24"/>
        <v>Sep-2026</v>
      </c>
    </row>
    <row r="267" spans="1:11" x14ac:dyDescent="0.3">
      <c r="A267" s="3">
        <v>46277</v>
      </c>
      <c r="B267" s="2" t="str">
        <f t="shared" si="20"/>
        <v>Sep-2026</v>
      </c>
      <c r="C267">
        <v>191</v>
      </c>
      <c r="D267">
        <v>283</v>
      </c>
      <c r="E267">
        <v>192</v>
      </c>
      <c r="F267" s="1">
        <v>5664</v>
      </c>
      <c r="G267">
        <v>207</v>
      </c>
      <c r="H267">
        <f t="shared" si="21"/>
        <v>0.67844522968197885</v>
      </c>
      <c r="I267">
        <f t="shared" si="22"/>
        <v>3.6546610169491525E-2</v>
      </c>
      <c r="J267">
        <f t="shared" si="23"/>
        <v>-16</v>
      </c>
      <c r="K267" t="str">
        <f t="shared" si="24"/>
        <v>Sep-2026</v>
      </c>
    </row>
    <row r="268" spans="1:11" x14ac:dyDescent="0.3">
      <c r="A268" s="3">
        <v>46278</v>
      </c>
      <c r="B268" s="2" t="str">
        <f t="shared" si="20"/>
        <v>Sep-2026</v>
      </c>
      <c r="C268">
        <v>109</v>
      </c>
      <c r="D268">
        <v>214</v>
      </c>
      <c r="E268">
        <v>173</v>
      </c>
      <c r="F268" s="1">
        <v>5850</v>
      </c>
      <c r="G268">
        <v>210</v>
      </c>
      <c r="H268">
        <f t="shared" si="21"/>
        <v>0.80841121495327106</v>
      </c>
      <c r="I268">
        <f t="shared" si="22"/>
        <v>3.5897435897435895E-2</v>
      </c>
      <c r="J268">
        <f t="shared" si="23"/>
        <v>-101</v>
      </c>
      <c r="K268" t="str">
        <f t="shared" si="24"/>
        <v>Sep-2026</v>
      </c>
    </row>
    <row r="269" spans="1:11" x14ac:dyDescent="0.3">
      <c r="A269" s="3">
        <v>46279</v>
      </c>
      <c r="B269" s="2" t="str">
        <f t="shared" si="20"/>
        <v>Sep-2026</v>
      </c>
      <c r="C269">
        <v>155</v>
      </c>
      <c r="D269">
        <v>212</v>
      </c>
      <c r="E269">
        <v>181</v>
      </c>
      <c r="F269" s="1">
        <v>5879</v>
      </c>
      <c r="G269">
        <v>148</v>
      </c>
      <c r="H269">
        <f t="shared" si="21"/>
        <v>0.85377358490566035</v>
      </c>
      <c r="I269">
        <f t="shared" si="22"/>
        <v>2.5174349379146112E-2</v>
      </c>
      <c r="J269">
        <f t="shared" si="23"/>
        <v>7</v>
      </c>
      <c r="K269" t="str">
        <f t="shared" si="24"/>
        <v>Sep-2026</v>
      </c>
    </row>
    <row r="270" spans="1:11" x14ac:dyDescent="0.3">
      <c r="A270" s="3">
        <v>46280</v>
      </c>
      <c r="B270" s="2" t="str">
        <f t="shared" si="20"/>
        <v>Sep-2026</v>
      </c>
      <c r="C270">
        <v>119</v>
      </c>
      <c r="D270">
        <v>209</v>
      </c>
      <c r="E270">
        <v>152</v>
      </c>
      <c r="F270" s="1">
        <v>5844</v>
      </c>
      <c r="G270">
        <v>146</v>
      </c>
      <c r="H270">
        <f t="shared" si="21"/>
        <v>0.72727272727272729</v>
      </c>
      <c r="I270">
        <f t="shared" si="22"/>
        <v>2.4982888432580425E-2</v>
      </c>
      <c r="J270">
        <f t="shared" si="23"/>
        <v>-27</v>
      </c>
      <c r="K270" t="str">
        <f t="shared" si="24"/>
        <v>Sep-2026</v>
      </c>
    </row>
    <row r="271" spans="1:11" x14ac:dyDescent="0.3">
      <c r="A271" s="3">
        <v>46281</v>
      </c>
      <c r="B271" s="2" t="str">
        <f t="shared" si="20"/>
        <v>Sep-2026</v>
      </c>
      <c r="C271">
        <v>143</v>
      </c>
      <c r="D271">
        <v>203</v>
      </c>
      <c r="E271">
        <v>163</v>
      </c>
      <c r="F271" s="1">
        <v>5819</v>
      </c>
      <c r="G271">
        <v>138</v>
      </c>
      <c r="H271">
        <f t="shared" si="21"/>
        <v>0.80295566502463056</v>
      </c>
      <c r="I271">
        <f t="shared" si="22"/>
        <v>2.3715415019762844E-2</v>
      </c>
      <c r="J271">
        <f t="shared" si="23"/>
        <v>5</v>
      </c>
      <c r="K271" t="str">
        <f t="shared" si="24"/>
        <v>Sep-2026</v>
      </c>
    </row>
    <row r="272" spans="1:11" x14ac:dyDescent="0.3">
      <c r="A272" s="3">
        <v>46282</v>
      </c>
      <c r="B272" s="2" t="str">
        <f t="shared" si="20"/>
        <v>Sep-2026</v>
      </c>
      <c r="C272">
        <v>105</v>
      </c>
      <c r="D272">
        <v>210</v>
      </c>
      <c r="E272">
        <v>149</v>
      </c>
      <c r="F272" s="1">
        <v>5816</v>
      </c>
      <c r="G272">
        <v>195</v>
      </c>
      <c r="H272">
        <f t="shared" si="21"/>
        <v>0.70952380952380956</v>
      </c>
      <c r="I272">
        <f t="shared" si="22"/>
        <v>3.3528198074277857E-2</v>
      </c>
      <c r="J272">
        <f t="shared" si="23"/>
        <v>-90</v>
      </c>
      <c r="K272" t="str">
        <f t="shared" si="24"/>
        <v>Sep-2026</v>
      </c>
    </row>
    <row r="273" spans="1:11" x14ac:dyDescent="0.3">
      <c r="A273" s="3">
        <v>46283</v>
      </c>
      <c r="B273" s="2" t="str">
        <f t="shared" si="20"/>
        <v>Sep-2026</v>
      </c>
      <c r="C273">
        <v>119</v>
      </c>
      <c r="D273">
        <v>219</v>
      </c>
      <c r="E273">
        <v>210</v>
      </c>
      <c r="F273" s="1">
        <v>6025</v>
      </c>
      <c r="G273">
        <v>172</v>
      </c>
      <c r="H273">
        <f t="shared" si="21"/>
        <v>0.95890410958904104</v>
      </c>
      <c r="I273">
        <f t="shared" si="22"/>
        <v>2.8547717842323652E-2</v>
      </c>
      <c r="J273">
        <f t="shared" si="23"/>
        <v>-53</v>
      </c>
      <c r="K273" t="str">
        <f t="shared" si="24"/>
        <v>Sep-2026</v>
      </c>
    </row>
    <row r="274" spans="1:11" x14ac:dyDescent="0.3">
      <c r="A274" s="3">
        <v>46284</v>
      </c>
      <c r="B274" s="2" t="str">
        <f t="shared" si="20"/>
        <v>Sep-2026</v>
      </c>
      <c r="C274">
        <v>148</v>
      </c>
      <c r="D274">
        <v>245</v>
      </c>
      <c r="E274">
        <v>175</v>
      </c>
      <c r="F274" s="1">
        <v>5966</v>
      </c>
      <c r="G274">
        <v>151</v>
      </c>
      <c r="H274">
        <f t="shared" si="21"/>
        <v>0.7142857142857143</v>
      </c>
      <c r="I274">
        <f t="shared" si="22"/>
        <v>2.5310090512906471E-2</v>
      </c>
      <c r="J274">
        <f t="shared" si="23"/>
        <v>-3</v>
      </c>
      <c r="K274" t="str">
        <f t="shared" si="24"/>
        <v>Sep-2026</v>
      </c>
    </row>
    <row r="275" spans="1:11" x14ac:dyDescent="0.3">
      <c r="A275" s="3">
        <v>46285</v>
      </c>
      <c r="B275" s="2" t="str">
        <f t="shared" si="20"/>
        <v>Sep-2026</v>
      </c>
      <c r="C275">
        <v>142</v>
      </c>
      <c r="D275">
        <v>235</v>
      </c>
      <c r="E275">
        <v>139</v>
      </c>
      <c r="F275" s="1">
        <v>5975</v>
      </c>
      <c r="G275">
        <v>138</v>
      </c>
      <c r="H275">
        <f t="shared" si="21"/>
        <v>0.59148936170212763</v>
      </c>
      <c r="I275">
        <f t="shared" si="22"/>
        <v>2.3096234309623431E-2</v>
      </c>
      <c r="J275">
        <f t="shared" si="23"/>
        <v>4</v>
      </c>
      <c r="K275" t="str">
        <f t="shared" si="24"/>
        <v>Sep-2026</v>
      </c>
    </row>
    <row r="276" spans="1:11" x14ac:dyDescent="0.3">
      <c r="A276" s="3">
        <v>46286</v>
      </c>
      <c r="B276" s="2" t="str">
        <f t="shared" si="20"/>
        <v>Sep-2026</v>
      </c>
      <c r="C276">
        <v>118</v>
      </c>
      <c r="D276">
        <v>139</v>
      </c>
      <c r="E276">
        <v>168</v>
      </c>
      <c r="F276" s="1">
        <v>5963</v>
      </c>
      <c r="G276">
        <v>145</v>
      </c>
      <c r="H276">
        <f t="shared" si="21"/>
        <v>1.2086330935251799</v>
      </c>
      <c r="I276">
        <f t="shared" si="22"/>
        <v>2.4316619151433842E-2</v>
      </c>
      <c r="J276">
        <f t="shared" si="23"/>
        <v>-27</v>
      </c>
      <c r="K276" t="str">
        <f t="shared" si="24"/>
        <v>Sep-2026</v>
      </c>
    </row>
    <row r="277" spans="1:11" x14ac:dyDescent="0.3">
      <c r="A277" s="3">
        <v>46287</v>
      </c>
      <c r="B277" s="2" t="str">
        <f t="shared" si="20"/>
        <v>Sep-2026</v>
      </c>
      <c r="C277">
        <v>125</v>
      </c>
      <c r="D277">
        <v>232</v>
      </c>
      <c r="E277">
        <v>192</v>
      </c>
      <c r="F277" s="1">
        <v>6084</v>
      </c>
      <c r="G277">
        <v>177</v>
      </c>
      <c r="H277">
        <f t="shared" si="21"/>
        <v>0.82758620689655171</v>
      </c>
      <c r="I277">
        <f t="shared" si="22"/>
        <v>2.9092702169625246E-2</v>
      </c>
      <c r="J277">
        <f t="shared" si="23"/>
        <v>-52</v>
      </c>
      <c r="K277" t="str">
        <f t="shared" si="24"/>
        <v>Sep-2026</v>
      </c>
    </row>
    <row r="278" spans="1:11" x14ac:dyDescent="0.3">
      <c r="A278" s="3">
        <v>46288</v>
      </c>
      <c r="B278" s="2" t="str">
        <f t="shared" si="20"/>
        <v>Sep-2026</v>
      </c>
      <c r="C278">
        <v>156</v>
      </c>
      <c r="D278">
        <v>256</v>
      </c>
      <c r="E278">
        <v>176</v>
      </c>
      <c r="F278" s="1">
        <v>6086</v>
      </c>
      <c r="G278">
        <v>137</v>
      </c>
      <c r="H278">
        <f t="shared" si="21"/>
        <v>0.6875</v>
      </c>
      <c r="I278">
        <f t="shared" si="22"/>
        <v>2.2510680249753532E-2</v>
      </c>
      <c r="J278">
        <f t="shared" si="23"/>
        <v>19</v>
      </c>
      <c r="K278" t="str">
        <f t="shared" si="24"/>
        <v>Sep-2026</v>
      </c>
    </row>
    <row r="279" spans="1:11" x14ac:dyDescent="0.3">
      <c r="A279" s="3">
        <v>46289</v>
      </c>
      <c r="B279" s="2" t="str">
        <f t="shared" si="20"/>
        <v>Sep-2026</v>
      </c>
      <c r="C279">
        <v>109</v>
      </c>
      <c r="D279">
        <v>245</v>
      </c>
      <c r="E279">
        <v>159</v>
      </c>
      <c r="F279" s="1">
        <v>6045</v>
      </c>
      <c r="G279">
        <v>126</v>
      </c>
      <c r="H279">
        <f t="shared" si="21"/>
        <v>0.6489795918367347</v>
      </c>
      <c r="I279">
        <f t="shared" si="22"/>
        <v>2.0843672456575684E-2</v>
      </c>
      <c r="J279">
        <f t="shared" si="23"/>
        <v>-17</v>
      </c>
      <c r="K279" t="str">
        <f t="shared" si="24"/>
        <v>Sep-2026</v>
      </c>
    </row>
    <row r="280" spans="1:11" x14ac:dyDescent="0.3">
      <c r="A280" s="3">
        <v>46290</v>
      </c>
      <c r="B280" s="2" t="str">
        <f t="shared" si="20"/>
        <v>Sep-2026</v>
      </c>
      <c r="C280">
        <v>167</v>
      </c>
      <c r="D280">
        <v>209</v>
      </c>
      <c r="E280">
        <v>157</v>
      </c>
      <c r="F280" s="1">
        <v>6007</v>
      </c>
      <c r="G280">
        <v>132</v>
      </c>
      <c r="H280">
        <f t="shared" si="21"/>
        <v>0.75119617224880386</v>
      </c>
      <c r="I280">
        <f t="shared" si="22"/>
        <v>2.1974363242883304E-2</v>
      </c>
      <c r="J280">
        <f t="shared" si="23"/>
        <v>35</v>
      </c>
      <c r="K280" t="str">
        <f t="shared" si="24"/>
        <v>Sep-2026</v>
      </c>
    </row>
    <row r="281" spans="1:11" x14ac:dyDescent="0.3">
      <c r="A281" s="3">
        <v>46291</v>
      </c>
      <c r="B281" s="2" t="str">
        <f t="shared" si="20"/>
        <v>Sep-2026</v>
      </c>
      <c r="C281">
        <v>84</v>
      </c>
      <c r="D281">
        <v>171</v>
      </c>
      <c r="E281">
        <v>157</v>
      </c>
      <c r="F281" s="1">
        <v>5990</v>
      </c>
      <c r="G281">
        <v>184</v>
      </c>
      <c r="H281">
        <f t="shared" si="21"/>
        <v>0.91812865497076024</v>
      </c>
      <c r="I281">
        <f t="shared" si="22"/>
        <v>3.0717863105175294E-2</v>
      </c>
      <c r="J281">
        <f t="shared" si="23"/>
        <v>-100</v>
      </c>
      <c r="K281" t="str">
        <f t="shared" si="24"/>
        <v>Sep-2026</v>
      </c>
    </row>
    <row r="282" spans="1:11" x14ac:dyDescent="0.3">
      <c r="A282" s="3">
        <v>46292</v>
      </c>
      <c r="B282" s="2" t="str">
        <f t="shared" si="20"/>
        <v>Sep-2026</v>
      </c>
      <c r="C282">
        <v>87</v>
      </c>
      <c r="D282">
        <v>246</v>
      </c>
      <c r="E282">
        <v>173</v>
      </c>
      <c r="F282" s="1">
        <v>6148</v>
      </c>
      <c r="G282">
        <v>177</v>
      </c>
      <c r="H282">
        <f t="shared" si="21"/>
        <v>0.7032520325203252</v>
      </c>
      <c r="I282">
        <f t="shared" si="22"/>
        <v>2.8789850357839947E-2</v>
      </c>
      <c r="J282">
        <f t="shared" si="23"/>
        <v>-90</v>
      </c>
      <c r="K282" t="str">
        <f t="shared" si="24"/>
        <v>Sep-2026</v>
      </c>
    </row>
    <row r="283" spans="1:11" x14ac:dyDescent="0.3">
      <c r="A283" s="3">
        <v>46293</v>
      </c>
      <c r="B283" s="2" t="str">
        <f t="shared" si="20"/>
        <v>Sep-2026</v>
      </c>
      <c r="C283">
        <v>136</v>
      </c>
      <c r="D283">
        <v>276</v>
      </c>
      <c r="E283">
        <v>178</v>
      </c>
      <c r="F283" s="1">
        <v>6149</v>
      </c>
      <c r="G283">
        <v>160</v>
      </c>
      <c r="H283">
        <f t="shared" si="21"/>
        <v>0.64492753623188404</v>
      </c>
      <c r="I283">
        <f t="shared" si="22"/>
        <v>2.6020491136770206E-2</v>
      </c>
      <c r="J283">
        <f t="shared" si="23"/>
        <v>-24</v>
      </c>
      <c r="K283" t="str">
        <f t="shared" si="24"/>
        <v>Sep-2026</v>
      </c>
    </row>
    <row r="284" spans="1:11" x14ac:dyDescent="0.3">
      <c r="A284" s="3">
        <v>46294</v>
      </c>
      <c r="B284" s="2" t="str">
        <f t="shared" si="20"/>
        <v>Sep-2026</v>
      </c>
      <c r="C284">
        <v>166</v>
      </c>
      <c r="D284">
        <v>277</v>
      </c>
      <c r="E284">
        <v>229</v>
      </c>
      <c r="F284" s="1">
        <v>6106</v>
      </c>
      <c r="G284">
        <v>126</v>
      </c>
      <c r="H284">
        <f t="shared" si="21"/>
        <v>0.8267148014440433</v>
      </c>
      <c r="I284">
        <f t="shared" si="22"/>
        <v>2.0635440550278415E-2</v>
      </c>
      <c r="J284">
        <f t="shared" si="23"/>
        <v>40</v>
      </c>
      <c r="K284" t="str">
        <f t="shared" si="24"/>
        <v>Sep-2026</v>
      </c>
    </row>
    <row r="285" spans="1:11" x14ac:dyDescent="0.3">
      <c r="A285" s="3">
        <v>46295</v>
      </c>
      <c r="B285" s="2" t="str">
        <f t="shared" si="20"/>
        <v>Sep-2026</v>
      </c>
      <c r="C285">
        <v>110</v>
      </c>
      <c r="D285">
        <v>272</v>
      </c>
      <c r="E285">
        <v>193</v>
      </c>
      <c r="F285" s="1">
        <v>6008</v>
      </c>
      <c r="G285">
        <v>156</v>
      </c>
      <c r="H285">
        <f t="shared" si="21"/>
        <v>0.7095588235294118</v>
      </c>
      <c r="I285">
        <f t="shared" si="22"/>
        <v>2.5965379494007991E-2</v>
      </c>
      <c r="J285">
        <f t="shared" si="23"/>
        <v>-46</v>
      </c>
      <c r="K285" t="str">
        <f t="shared" si="24"/>
        <v>Sep-2026</v>
      </c>
    </row>
    <row r="286" spans="1:11" x14ac:dyDescent="0.3">
      <c r="A286" s="3">
        <v>46296</v>
      </c>
      <c r="B286" s="2" t="str">
        <f t="shared" si="20"/>
        <v>Oct-2026</v>
      </c>
      <c r="C286">
        <v>202</v>
      </c>
      <c r="D286">
        <v>313</v>
      </c>
      <c r="E286">
        <v>158</v>
      </c>
      <c r="F286" s="1">
        <v>5974</v>
      </c>
      <c r="G286">
        <v>192</v>
      </c>
      <c r="H286">
        <f t="shared" si="21"/>
        <v>0.50479233226837061</v>
      </c>
      <c r="I286">
        <f t="shared" si="22"/>
        <v>3.2139270170739871E-2</v>
      </c>
      <c r="J286">
        <f t="shared" si="23"/>
        <v>10</v>
      </c>
      <c r="K286" t="str">
        <f t="shared" si="24"/>
        <v>Oct-2026</v>
      </c>
    </row>
    <row r="287" spans="1:11" x14ac:dyDescent="0.3">
      <c r="A287" s="3">
        <v>46297</v>
      </c>
      <c r="B287" s="2" t="str">
        <f t="shared" si="20"/>
        <v>Oct-2026</v>
      </c>
      <c r="C287">
        <v>134</v>
      </c>
      <c r="D287">
        <v>294</v>
      </c>
      <c r="E287">
        <v>186</v>
      </c>
      <c r="F287" s="1">
        <v>6077</v>
      </c>
      <c r="G287">
        <v>138</v>
      </c>
      <c r="H287">
        <f t="shared" si="21"/>
        <v>0.63265306122448983</v>
      </c>
      <c r="I287">
        <f t="shared" si="22"/>
        <v>2.2708573309198617E-2</v>
      </c>
      <c r="J287">
        <f t="shared" si="23"/>
        <v>-4</v>
      </c>
      <c r="K287" t="str">
        <f t="shared" si="24"/>
        <v>Oct-2026</v>
      </c>
    </row>
    <row r="288" spans="1:11" x14ac:dyDescent="0.3">
      <c r="A288" s="3">
        <v>46298</v>
      </c>
      <c r="B288" s="2" t="str">
        <f t="shared" si="20"/>
        <v>Oct-2026</v>
      </c>
      <c r="C288">
        <v>180</v>
      </c>
      <c r="D288">
        <v>280</v>
      </c>
      <c r="E288">
        <v>146</v>
      </c>
      <c r="F288" s="1">
        <v>6043</v>
      </c>
      <c r="G288">
        <v>109</v>
      </c>
      <c r="H288">
        <f t="shared" si="21"/>
        <v>0.52142857142857146</v>
      </c>
      <c r="I288">
        <f t="shared" si="22"/>
        <v>1.8037398643058082E-2</v>
      </c>
      <c r="J288">
        <f t="shared" si="23"/>
        <v>71</v>
      </c>
      <c r="K288" t="str">
        <f t="shared" si="24"/>
        <v>Oct-2026</v>
      </c>
    </row>
    <row r="289" spans="1:11" x14ac:dyDescent="0.3">
      <c r="A289" s="3">
        <v>46299</v>
      </c>
      <c r="B289" s="2" t="str">
        <f t="shared" si="20"/>
        <v>Oct-2026</v>
      </c>
      <c r="C289">
        <v>108</v>
      </c>
      <c r="D289">
        <v>220</v>
      </c>
      <c r="E289">
        <v>213</v>
      </c>
      <c r="F289" s="1">
        <v>5966</v>
      </c>
      <c r="G289">
        <v>154</v>
      </c>
      <c r="H289">
        <f t="shared" si="21"/>
        <v>0.96818181818181814</v>
      </c>
      <c r="I289">
        <f t="shared" si="22"/>
        <v>2.5812939993295342E-2</v>
      </c>
      <c r="J289">
        <f t="shared" si="23"/>
        <v>-46</v>
      </c>
      <c r="K289" t="str">
        <f t="shared" si="24"/>
        <v>Oct-2026</v>
      </c>
    </row>
    <row r="290" spans="1:11" x14ac:dyDescent="0.3">
      <c r="A290" s="3">
        <v>46300</v>
      </c>
      <c r="B290" s="2" t="str">
        <f t="shared" si="20"/>
        <v>Oct-2026</v>
      </c>
      <c r="C290">
        <v>147</v>
      </c>
      <c r="D290">
        <v>276</v>
      </c>
      <c r="E290">
        <v>214</v>
      </c>
      <c r="F290" s="1">
        <v>5918</v>
      </c>
      <c r="G290">
        <v>195</v>
      </c>
      <c r="H290">
        <f t="shared" si="21"/>
        <v>0.77536231884057971</v>
      </c>
      <c r="I290">
        <f t="shared" si="22"/>
        <v>3.2950321054410273E-2</v>
      </c>
      <c r="J290">
        <f t="shared" si="23"/>
        <v>-48</v>
      </c>
      <c r="K290" t="str">
        <f t="shared" si="24"/>
        <v>Oct-2026</v>
      </c>
    </row>
    <row r="291" spans="1:11" x14ac:dyDescent="0.3">
      <c r="A291" s="3">
        <v>46301</v>
      </c>
      <c r="B291" s="2" t="str">
        <f t="shared" si="20"/>
        <v>Oct-2026</v>
      </c>
      <c r="C291">
        <v>104</v>
      </c>
      <c r="D291">
        <v>230</v>
      </c>
      <c r="E291">
        <v>206</v>
      </c>
      <c r="F291" s="1">
        <v>6076</v>
      </c>
      <c r="G291">
        <v>160</v>
      </c>
      <c r="H291">
        <f t="shared" si="21"/>
        <v>0.89565217391304353</v>
      </c>
      <c r="I291">
        <f t="shared" si="22"/>
        <v>2.6333113890717578E-2</v>
      </c>
      <c r="J291">
        <f t="shared" si="23"/>
        <v>-56</v>
      </c>
      <c r="K291" t="str">
        <f t="shared" si="24"/>
        <v>Oct-2026</v>
      </c>
    </row>
    <row r="292" spans="1:11" x14ac:dyDescent="0.3">
      <c r="A292" s="3">
        <v>46302</v>
      </c>
      <c r="B292" s="2" t="str">
        <f t="shared" si="20"/>
        <v>Oct-2026</v>
      </c>
      <c r="C292">
        <v>174</v>
      </c>
      <c r="D292">
        <v>285</v>
      </c>
      <c r="E292">
        <v>150</v>
      </c>
      <c r="F292" s="1">
        <v>6036</v>
      </c>
      <c r="G292">
        <v>129</v>
      </c>
      <c r="H292">
        <f t="shared" si="21"/>
        <v>0.52631578947368418</v>
      </c>
      <c r="I292">
        <f t="shared" si="22"/>
        <v>2.1371769383697812E-2</v>
      </c>
      <c r="J292">
        <f t="shared" si="23"/>
        <v>45</v>
      </c>
      <c r="K292" t="str">
        <f t="shared" si="24"/>
        <v>Oct-2026</v>
      </c>
    </row>
    <row r="293" spans="1:11" x14ac:dyDescent="0.3">
      <c r="A293" s="3">
        <v>46303</v>
      </c>
      <c r="B293" s="2" t="str">
        <f t="shared" si="20"/>
        <v>Oct-2026</v>
      </c>
      <c r="C293">
        <v>113</v>
      </c>
      <c r="D293">
        <v>208</v>
      </c>
      <c r="E293">
        <v>159</v>
      </c>
      <c r="F293" s="1">
        <v>6013</v>
      </c>
      <c r="G293">
        <v>107</v>
      </c>
      <c r="H293">
        <f t="shared" si="21"/>
        <v>0.76442307692307687</v>
      </c>
      <c r="I293">
        <f t="shared" si="22"/>
        <v>1.7794777981041076E-2</v>
      </c>
      <c r="J293">
        <f t="shared" si="23"/>
        <v>6</v>
      </c>
      <c r="K293" t="str">
        <f t="shared" si="24"/>
        <v>Oct-2026</v>
      </c>
    </row>
    <row r="294" spans="1:11" x14ac:dyDescent="0.3">
      <c r="A294" s="3">
        <v>46304</v>
      </c>
      <c r="B294" s="2" t="str">
        <f t="shared" si="20"/>
        <v>Oct-2026</v>
      </c>
      <c r="C294">
        <v>88</v>
      </c>
      <c r="D294">
        <v>214</v>
      </c>
      <c r="E294">
        <v>160</v>
      </c>
      <c r="F294" s="1">
        <v>5935</v>
      </c>
      <c r="G294">
        <v>106</v>
      </c>
      <c r="H294">
        <f t="shared" si="21"/>
        <v>0.74766355140186913</v>
      </c>
      <c r="I294">
        <f t="shared" si="22"/>
        <v>1.7860151642796966E-2</v>
      </c>
      <c r="J294">
        <f t="shared" si="23"/>
        <v>-18</v>
      </c>
      <c r="K294" t="str">
        <f t="shared" si="24"/>
        <v>Oct-2026</v>
      </c>
    </row>
    <row r="295" spans="1:11" x14ac:dyDescent="0.3">
      <c r="A295" s="3">
        <v>46305</v>
      </c>
      <c r="B295" s="2" t="str">
        <f t="shared" si="20"/>
        <v>Oct-2026</v>
      </c>
      <c r="C295">
        <v>130</v>
      </c>
      <c r="D295">
        <v>227</v>
      </c>
      <c r="E295">
        <v>192</v>
      </c>
      <c r="F295" s="1">
        <v>5889</v>
      </c>
      <c r="G295">
        <v>210</v>
      </c>
      <c r="H295">
        <f t="shared" si="21"/>
        <v>0.8458149779735683</v>
      </c>
      <c r="I295">
        <f t="shared" si="22"/>
        <v>3.5659704533876721E-2</v>
      </c>
      <c r="J295">
        <f t="shared" si="23"/>
        <v>-80</v>
      </c>
      <c r="K295" t="str">
        <f t="shared" si="24"/>
        <v>Oct-2026</v>
      </c>
    </row>
    <row r="296" spans="1:11" x14ac:dyDescent="0.3">
      <c r="A296" s="3">
        <v>46306</v>
      </c>
      <c r="B296" s="2" t="str">
        <f t="shared" si="20"/>
        <v>Oct-2026</v>
      </c>
      <c r="C296">
        <v>84</v>
      </c>
      <c r="D296">
        <v>158</v>
      </c>
      <c r="E296">
        <v>193</v>
      </c>
      <c r="F296" s="1">
        <v>6075</v>
      </c>
      <c r="G296">
        <v>159</v>
      </c>
      <c r="H296">
        <f t="shared" si="21"/>
        <v>1.2215189873417722</v>
      </c>
      <c r="I296">
        <f t="shared" si="22"/>
        <v>2.617283950617284E-2</v>
      </c>
      <c r="J296">
        <f t="shared" si="23"/>
        <v>-75</v>
      </c>
      <c r="K296" t="str">
        <f t="shared" si="24"/>
        <v>Oct-2026</v>
      </c>
    </row>
    <row r="297" spans="1:11" x14ac:dyDescent="0.3">
      <c r="A297" s="3">
        <v>46307</v>
      </c>
      <c r="B297" s="2" t="str">
        <f t="shared" si="20"/>
        <v>Oct-2026</v>
      </c>
      <c r="C297">
        <v>115</v>
      </c>
      <c r="D297">
        <v>216</v>
      </c>
      <c r="E297">
        <v>169</v>
      </c>
      <c r="F297" s="1">
        <v>6047</v>
      </c>
      <c r="G297">
        <v>137</v>
      </c>
      <c r="H297">
        <f t="shared" si="21"/>
        <v>0.78240740740740744</v>
      </c>
      <c r="I297">
        <f t="shared" si="22"/>
        <v>2.2655862411112948E-2</v>
      </c>
      <c r="J297">
        <f t="shared" si="23"/>
        <v>-22</v>
      </c>
      <c r="K297" t="str">
        <f t="shared" si="24"/>
        <v>Oct-2026</v>
      </c>
    </row>
    <row r="298" spans="1:11" x14ac:dyDescent="0.3">
      <c r="A298" s="3">
        <v>46308</v>
      </c>
      <c r="B298" s="2" t="str">
        <f t="shared" si="20"/>
        <v>Oct-2026</v>
      </c>
      <c r="C298">
        <v>167</v>
      </c>
      <c r="D298">
        <v>239</v>
      </c>
      <c r="E298">
        <v>166</v>
      </c>
      <c r="F298" s="1">
        <v>6013</v>
      </c>
      <c r="G298">
        <v>123</v>
      </c>
      <c r="H298">
        <f t="shared" si="21"/>
        <v>0.69456066945606698</v>
      </c>
      <c r="I298">
        <f t="shared" si="22"/>
        <v>2.045567936138367E-2</v>
      </c>
      <c r="J298">
        <f t="shared" si="23"/>
        <v>44</v>
      </c>
      <c r="K298" t="str">
        <f t="shared" si="24"/>
        <v>Oct-2026</v>
      </c>
    </row>
    <row r="299" spans="1:11" x14ac:dyDescent="0.3">
      <c r="A299" s="3">
        <v>46309</v>
      </c>
      <c r="B299" s="2" t="str">
        <f t="shared" si="20"/>
        <v>Oct-2026</v>
      </c>
      <c r="C299">
        <v>99</v>
      </c>
      <c r="D299">
        <v>190</v>
      </c>
      <c r="E299">
        <v>176</v>
      </c>
      <c r="F299" s="1">
        <v>5968</v>
      </c>
      <c r="G299">
        <v>153</v>
      </c>
      <c r="H299">
        <f t="shared" si="21"/>
        <v>0.9263157894736842</v>
      </c>
      <c r="I299">
        <f t="shared" si="22"/>
        <v>2.5636729222520107E-2</v>
      </c>
      <c r="J299">
        <f t="shared" si="23"/>
        <v>-54</v>
      </c>
      <c r="K299" t="str">
        <f t="shared" si="24"/>
        <v>Oct-2026</v>
      </c>
    </row>
    <row r="300" spans="1:11" x14ac:dyDescent="0.3">
      <c r="A300" s="3">
        <v>46310</v>
      </c>
      <c r="B300" s="2" t="str">
        <f t="shared" si="20"/>
        <v>Oct-2026</v>
      </c>
      <c r="C300">
        <v>101</v>
      </c>
      <c r="D300">
        <v>162</v>
      </c>
      <c r="E300">
        <v>178</v>
      </c>
      <c r="F300" s="1">
        <v>6118</v>
      </c>
      <c r="G300">
        <v>193</v>
      </c>
      <c r="H300">
        <f t="shared" si="21"/>
        <v>1.0987654320987654</v>
      </c>
      <c r="I300">
        <f t="shared" si="22"/>
        <v>3.1546256946714611E-2</v>
      </c>
      <c r="J300">
        <f t="shared" si="23"/>
        <v>-92</v>
      </c>
      <c r="K300" t="str">
        <f t="shared" si="24"/>
        <v>Oct-2026</v>
      </c>
    </row>
    <row r="301" spans="1:11" x14ac:dyDescent="0.3">
      <c r="A301" s="3">
        <v>46311</v>
      </c>
      <c r="B301" s="2" t="str">
        <f t="shared" si="20"/>
        <v>Oct-2026</v>
      </c>
      <c r="C301">
        <v>107</v>
      </c>
      <c r="D301">
        <v>215</v>
      </c>
      <c r="E301">
        <v>230</v>
      </c>
      <c r="F301" s="1">
        <v>6091</v>
      </c>
      <c r="G301">
        <v>173</v>
      </c>
      <c r="H301">
        <f t="shared" si="21"/>
        <v>1.069767441860465</v>
      </c>
      <c r="I301">
        <f t="shared" si="22"/>
        <v>2.8402561155803644E-2</v>
      </c>
      <c r="J301">
        <f t="shared" si="23"/>
        <v>-66</v>
      </c>
      <c r="K301" t="str">
        <f t="shared" si="24"/>
        <v>Oct-2026</v>
      </c>
    </row>
    <row r="302" spans="1:11" x14ac:dyDescent="0.3">
      <c r="A302" s="3">
        <v>46312</v>
      </c>
      <c r="B302" s="2" t="str">
        <f t="shared" si="20"/>
        <v>Oct-2026</v>
      </c>
      <c r="C302">
        <v>184</v>
      </c>
      <c r="D302">
        <v>314</v>
      </c>
      <c r="E302">
        <v>217</v>
      </c>
      <c r="F302" s="1">
        <v>6040</v>
      </c>
      <c r="G302">
        <v>137</v>
      </c>
      <c r="H302">
        <f t="shared" si="21"/>
        <v>0.69108280254777066</v>
      </c>
      <c r="I302">
        <f t="shared" si="22"/>
        <v>2.2682119205298012E-2</v>
      </c>
      <c r="J302">
        <f t="shared" si="23"/>
        <v>47</v>
      </c>
      <c r="K302" t="str">
        <f t="shared" si="24"/>
        <v>Oct-2026</v>
      </c>
    </row>
    <row r="303" spans="1:11" x14ac:dyDescent="0.3">
      <c r="A303" s="3">
        <v>46313</v>
      </c>
      <c r="B303" s="2" t="str">
        <f t="shared" si="20"/>
        <v>Oct-2026</v>
      </c>
      <c r="C303">
        <v>209</v>
      </c>
      <c r="D303">
        <v>285</v>
      </c>
      <c r="E303">
        <v>184</v>
      </c>
      <c r="F303" s="1">
        <v>5967</v>
      </c>
      <c r="G303">
        <v>138</v>
      </c>
      <c r="H303">
        <f t="shared" si="21"/>
        <v>0.64561403508771931</v>
      </c>
      <c r="I303">
        <f t="shared" si="22"/>
        <v>2.3127199597787834E-2</v>
      </c>
      <c r="J303">
        <f t="shared" si="23"/>
        <v>71</v>
      </c>
      <c r="K303" t="str">
        <f t="shared" si="24"/>
        <v>Oct-2026</v>
      </c>
    </row>
    <row r="304" spans="1:11" x14ac:dyDescent="0.3">
      <c r="A304" s="3">
        <v>46314</v>
      </c>
      <c r="B304" s="2" t="str">
        <f t="shared" si="20"/>
        <v>Oct-2026</v>
      </c>
      <c r="C304">
        <v>81</v>
      </c>
      <c r="D304">
        <v>213</v>
      </c>
      <c r="E304">
        <v>153</v>
      </c>
      <c r="F304" s="1">
        <v>5925</v>
      </c>
      <c r="G304">
        <v>177</v>
      </c>
      <c r="H304">
        <f t="shared" si="21"/>
        <v>0.71830985915492962</v>
      </c>
      <c r="I304">
        <f t="shared" si="22"/>
        <v>2.9873417721518986E-2</v>
      </c>
      <c r="J304">
        <f t="shared" si="23"/>
        <v>-96</v>
      </c>
      <c r="K304" t="str">
        <f t="shared" si="24"/>
        <v>Oct-2026</v>
      </c>
    </row>
    <row r="305" spans="1:11" x14ac:dyDescent="0.3">
      <c r="A305" s="3">
        <v>46315</v>
      </c>
      <c r="B305" s="2" t="str">
        <f t="shared" si="20"/>
        <v>Oct-2026</v>
      </c>
      <c r="C305">
        <v>91</v>
      </c>
      <c r="D305">
        <v>199</v>
      </c>
      <c r="E305">
        <v>172</v>
      </c>
      <c r="F305" s="1">
        <v>6090</v>
      </c>
      <c r="G305">
        <v>185</v>
      </c>
      <c r="H305">
        <f t="shared" si="21"/>
        <v>0.86432160804020097</v>
      </c>
      <c r="I305">
        <f t="shared" si="22"/>
        <v>3.0377668308702793E-2</v>
      </c>
      <c r="J305">
        <f t="shared" si="23"/>
        <v>-94</v>
      </c>
      <c r="K305" t="str">
        <f t="shared" si="24"/>
        <v>Oct-2026</v>
      </c>
    </row>
    <row r="306" spans="1:11" x14ac:dyDescent="0.3">
      <c r="A306" s="3">
        <v>46316</v>
      </c>
      <c r="B306" s="2" t="str">
        <f t="shared" si="20"/>
        <v>Oct-2026</v>
      </c>
      <c r="C306">
        <v>154</v>
      </c>
      <c r="D306">
        <v>225</v>
      </c>
      <c r="E306">
        <v>220</v>
      </c>
      <c r="F306" s="1">
        <v>6050</v>
      </c>
      <c r="G306">
        <v>169</v>
      </c>
      <c r="H306">
        <f t="shared" si="21"/>
        <v>0.97777777777777775</v>
      </c>
      <c r="I306">
        <f t="shared" si="22"/>
        <v>2.793388429752066E-2</v>
      </c>
      <c r="J306">
        <f t="shared" si="23"/>
        <v>-15</v>
      </c>
      <c r="K306" t="str">
        <f t="shared" si="24"/>
        <v>Oct-2026</v>
      </c>
    </row>
    <row r="307" spans="1:11" x14ac:dyDescent="0.3">
      <c r="A307" s="3">
        <v>46317</v>
      </c>
      <c r="B307" s="2" t="str">
        <f t="shared" si="20"/>
        <v>Oct-2026</v>
      </c>
      <c r="C307">
        <v>186</v>
      </c>
      <c r="D307">
        <v>259</v>
      </c>
      <c r="E307">
        <v>172</v>
      </c>
      <c r="F307" s="1">
        <v>6023</v>
      </c>
      <c r="G307">
        <v>143</v>
      </c>
      <c r="H307">
        <f t="shared" si="21"/>
        <v>0.6640926640926641</v>
      </c>
      <c r="I307">
        <f t="shared" si="22"/>
        <v>2.3742321102440643E-2</v>
      </c>
      <c r="J307">
        <f t="shared" si="23"/>
        <v>43</v>
      </c>
      <c r="K307" t="str">
        <f t="shared" si="24"/>
        <v>Oct-2026</v>
      </c>
    </row>
    <row r="308" spans="1:11" x14ac:dyDescent="0.3">
      <c r="A308" s="3">
        <v>46318</v>
      </c>
      <c r="B308" s="2" t="str">
        <f t="shared" si="20"/>
        <v>Oct-2026</v>
      </c>
      <c r="C308">
        <v>92</v>
      </c>
      <c r="D308">
        <v>203</v>
      </c>
      <c r="E308">
        <v>173</v>
      </c>
      <c r="F308" s="1">
        <v>6002</v>
      </c>
      <c r="G308">
        <v>165</v>
      </c>
      <c r="H308">
        <f t="shared" si="21"/>
        <v>0.85221674876847286</v>
      </c>
      <c r="I308">
        <f t="shared" si="22"/>
        <v>2.7490836387870709E-2</v>
      </c>
      <c r="J308">
        <f t="shared" si="23"/>
        <v>-73</v>
      </c>
      <c r="K308" t="str">
        <f t="shared" si="24"/>
        <v>Oct-2026</v>
      </c>
    </row>
    <row r="309" spans="1:11" x14ac:dyDescent="0.3">
      <c r="A309" s="3">
        <v>46319</v>
      </c>
      <c r="B309" s="2" t="str">
        <f t="shared" si="20"/>
        <v>Oct-2026</v>
      </c>
      <c r="C309">
        <v>124</v>
      </c>
      <c r="D309">
        <v>234</v>
      </c>
      <c r="E309">
        <v>161</v>
      </c>
      <c r="F309" s="1">
        <v>5989</v>
      </c>
      <c r="G309">
        <v>197</v>
      </c>
      <c r="H309">
        <f t="shared" si="21"/>
        <v>0.68803418803418803</v>
      </c>
      <c r="I309">
        <f t="shared" si="22"/>
        <v>3.2893638336951074E-2</v>
      </c>
      <c r="J309">
        <f t="shared" si="23"/>
        <v>-73</v>
      </c>
      <c r="K309" t="str">
        <f t="shared" si="24"/>
        <v>Oct-2026</v>
      </c>
    </row>
    <row r="310" spans="1:11" x14ac:dyDescent="0.3">
      <c r="A310" s="3">
        <v>46320</v>
      </c>
      <c r="B310" s="2" t="str">
        <f t="shared" si="20"/>
        <v>Oct-2026</v>
      </c>
      <c r="C310">
        <v>93</v>
      </c>
      <c r="D310">
        <v>196</v>
      </c>
      <c r="E310">
        <v>169</v>
      </c>
      <c r="F310" s="1">
        <v>6270</v>
      </c>
      <c r="G310">
        <v>188</v>
      </c>
      <c r="H310">
        <f t="shared" si="21"/>
        <v>0.86224489795918369</v>
      </c>
      <c r="I310">
        <f t="shared" si="22"/>
        <v>2.9984051036682616E-2</v>
      </c>
      <c r="J310">
        <f t="shared" si="23"/>
        <v>-95</v>
      </c>
      <c r="K310" t="str">
        <f t="shared" si="24"/>
        <v>Oct-2026</v>
      </c>
    </row>
    <row r="311" spans="1:11" x14ac:dyDescent="0.3">
      <c r="A311" s="3">
        <v>46321</v>
      </c>
      <c r="B311" s="2" t="str">
        <f t="shared" si="20"/>
        <v>Oct-2026</v>
      </c>
      <c r="C311">
        <v>116</v>
      </c>
      <c r="D311">
        <v>213</v>
      </c>
      <c r="E311">
        <v>217</v>
      </c>
      <c r="F311" s="1">
        <v>6245</v>
      </c>
      <c r="G311">
        <v>149</v>
      </c>
      <c r="H311">
        <f t="shared" si="21"/>
        <v>1.0187793427230047</v>
      </c>
      <c r="I311">
        <f t="shared" si="22"/>
        <v>2.3859087269815851E-2</v>
      </c>
      <c r="J311">
        <f t="shared" si="23"/>
        <v>-33</v>
      </c>
      <c r="K311" t="str">
        <f t="shared" si="24"/>
        <v>Oct-2026</v>
      </c>
    </row>
    <row r="312" spans="1:11" x14ac:dyDescent="0.3">
      <c r="A312" s="3">
        <v>46322</v>
      </c>
      <c r="B312" s="2" t="str">
        <f t="shared" si="20"/>
        <v>Oct-2026</v>
      </c>
      <c r="C312">
        <v>159</v>
      </c>
      <c r="D312">
        <v>304</v>
      </c>
      <c r="E312">
        <v>139</v>
      </c>
      <c r="F312" s="1">
        <v>6227</v>
      </c>
      <c r="G312">
        <v>160</v>
      </c>
      <c r="H312">
        <f t="shared" si="21"/>
        <v>0.45723684210526316</v>
      </c>
      <c r="I312">
        <f t="shared" si="22"/>
        <v>2.5694555965954713E-2</v>
      </c>
      <c r="J312">
        <f t="shared" si="23"/>
        <v>-1</v>
      </c>
      <c r="K312" t="str">
        <f t="shared" si="24"/>
        <v>Oct-2026</v>
      </c>
    </row>
    <row r="313" spans="1:11" x14ac:dyDescent="0.3">
      <c r="A313" s="3">
        <v>46323</v>
      </c>
      <c r="B313" s="2" t="str">
        <f t="shared" si="20"/>
        <v>Oct-2026</v>
      </c>
      <c r="C313">
        <v>113</v>
      </c>
      <c r="D313">
        <v>209</v>
      </c>
      <c r="E313">
        <v>160</v>
      </c>
      <c r="F313" s="1">
        <v>6229</v>
      </c>
      <c r="G313">
        <v>164</v>
      </c>
      <c r="H313">
        <f t="shared" si="21"/>
        <v>0.76555023923444976</v>
      </c>
      <c r="I313">
        <f t="shared" si="22"/>
        <v>2.6328463637823086E-2</v>
      </c>
      <c r="J313">
        <f t="shared" si="23"/>
        <v>-51</v>
      </c>
      <c r="K313" t="str">
        <f t="shared" si="24"/>
        <v>Oct-2026</v>
      </c>
    </row>
    <row r="314" spans="1:11" x14ac:dyDescent="0.3">
      <c r="A314" s="3">
        <v>46324</v>
      </c>
      <c r="B314" s="2" t="str">
        <f t="shared" si="20"/>
        <v>Oct-2026</v>
      </c>
      <c r="C314">
        <v>98</v>
      </c>
      <c r="D314">
        <v>220</v>
      </c>
      <c r="E314">
        <v>167</v>
      </c>
      <c r="F314" s="1">
        <v>6234</v>
      </c>
      <c r="G314">
        <v>210</v>
      </c>
      <c r="H314">
        <f t="shared" si="21"/>
        <v>0.75909090909090904</v>
      </c>
      <c r="I314">
        <f t="shared" si="22"/>
        <v>3.3686236766121272E-2</v>
      </c>
      <c r="J314">
        <f t="shared" si="23"/>
        <v>-112</v>
      </c>
      <c r="K314" t="str">
        <f t="shared" si="24"/>
        <v>Oct-2026</v>
      </c>
    </row>
    <row r="315" spans="1:11" x14ac:dyDescent="0.3">
      <c r="A315" s="3">
        <v>46325</v>
      </c>
      <c r="B315" s="2" t="str">
        <f t="shared" si="20"/>
        <v>Oct-2026</v>
      </c>
      <c r="C315">
        <v>81</v>
      </c>
      <c r="D315">
        <v>200</v>
      </c>
      <c r="E315">
        <v>212</v>
      </c>
      <c r="F315" s="1">
        <v>6326</v>
      </c>
      <c r="G315">
        <v>279</v>
      </c>
      <c r="H315">
        <f t="shared" si="21"/>
        <v>1.06</v>
      </c>
      <c r="I315">
        <f t="shared" si="22"/>
        <v>4.41036990199178E-2</v>
      </c>
      <c r="J315">
        <f t="shared" si="23"/>
        <v>-198</v>
      </c>
      <c r="K315" t="str">
        <f t="shared" si="24"/>
        <v>Oct-2026</v>
      </c>
    </row>
    <row r="316" spans="1:11" x14ac:dyDescent="0.3">
      <c r="A316" s="3">
        <v>46326</v>
      </c>
      <c r="B316" s="2" t="str">
        <f t="shared" si="20"/>
        <v>Oct-2026</v>
      </c>
      <c r="C316">
        <v>184</v>
      </c>
      <c r="D316">
        <v>280</v>
      </c>
      <c r="E316">
        <v>210</v>
      </c>
      <c r="F316" s="1">
        <v>6360</v>
      </c>
      <c r="G316">
        <v>220</v>
      </c>
      <c r="H316">
        <f t="shared" si="21"/>
        <v>0.75</v>
      </c>
      <c r="I316">
        <f t="shared" si="22"/>
        <v>3.4591194968553458E-2</v>
      </c>
      <c r="J316">
        <f t="shared" si="23"/>
        <v>-36</v>
      </c>
      <c r="K316" t="str">
        <f t="shared" si="24"/>
        <v>Oct-2026</v>
      </c>
    </row>
    <row r="317" spans="1:11" x14ac:dyDescent="0.3">
      <c r="A317" s="3">
        <v>46327</v>
      </c>
      <c r="B317" s="2" t="str">
        <f t="shared" si="20"/>
        <v>Nov-2026</v>
      </c>
      <c r="C317">
        <v>93</v>
      </c>
      <c r="D317">
        <v>248</v>
      </c>
      <c r="E317">
        <v>175</v>
      </c>
      <c r="F317" s="1">
        <v>6410</v>
      </c>
      <c r="G317">
        <v>162</v>
      </c>
      <c r="H317">
        <f t="shared" si="21"/>
        <v>0.70564516129032262</v>
      </c>
      <c r="I317">
        <f t="shared" si="22"/>
        <v>2.5273010920436819E-2</v>
      </c>
      <c r="J317">
        <f t="shared" si="23"/>
        <v>-69</v>
      </c>
      <c r="K317" t="str">
        <f t="shared" si="24"/>
        <v>Nov-2026</v>
      </c>
    </row>
    <row r="318" spans="1:11" x14ac:dyDescent="0.3">
      <c r="A318" s="3">
        <v>46328</v>
      </c>
      <c r="B318" s="2" t="str">
        <f t="shared" si="20"/>
        <v>Nov-2026</v>
      </c>
      <c r="C318">
        <v>131</v>
      </c>
      <c r="D318">
        <v>251</v>
      </c>
      <c r="E318">
        <v>180</v>
      </c>
      <c r="F318" s="1">
        <v>6396</v>
      </c>
      <c r="G318">
        <v>148</v>
      </c>
      <c r="H318">
        <f t="shared" si="21"/>
        <v>0.71713147410358569</v>
      </c>
      <c r="I318">
        <f t="shared" si="22"/>
        <v>2.3139462163852407E-2</v>
      </c>
      <c r="J318">
        <f t="shared" si="23"/>
        <v>-17</v>
      </c>
      <c r="K318" t="str">
        <f t="shared" si="24"/>
        <v>Nov-2026</v>
      </c>
    </row>
    <row r="319" spans="1:11" x14ac:dyDescent="0.3">
      <c r="A319" s="3">
        <v>46329</v>
      </c>
      <c r="B319" s="2" t="str">
        <f t="shared" si="20"/>
        <v>Nov-2026</v>
      </c>
      <c r="C319">
        <v>144</v>
      </c>
      <c r="D319">
        <v>275</v>
      </c>
      <c r="E319">
        <v>190</v>
      </c>
      <c r="F319" s="1">
        <v>6353</v>
      </c>
      <c r="G319">
        <v>141</v>
      </c>
      <c r="H319">
        <f t="shared" si="21"/>
        <v>0.69090909090909092</v>
      </c>
      <c r="I319">
        <f t="shared" si="22"/>
        <v>2.2194238942232016E-2</v>
      </c>
      <c r="J319">
        <f t="shared" si="23"/>
        <v>3</v>
      </c>
      <c r="K319" t="str">
        <f t="shared" si="24"/>
        <v>Nov-2026</v>
      </c>
    </row>
    <row r="320" spans="1:11" x14ac:dyDescent="0.3">
      <c r="A320" s="3">
        <v>46330</v>
      </c>
      <c r="B320" s="2" t="str">
        <f t="shared" si="20"/>
        <v>Nov-2026</v>
      </c>
      <c r="C320">
        <v>123</v>
      </c>
      <c r="D320">
        <v>255</v>
      </c>
      <c r="E320">
        <v>164</v>
      </c>
      <c r="F320" s="1">
        <v>6312</v>
      </c>
      <c r="G320">
        <v>221</v>
      </c>
      <c r="H320">
        <f t="shared" si="21"/>
        <v>0.64313725490196083</v>
      </c>
      <c r="I320">
        <f t="shared" si="22"/>
        <v>3.5012674271229408E-2</v>
      </c>
      <c r="J320">
        <f t="shared" si="23"/>
        <v>-98</v>
      </c>
      <c r="K320" t="str">
        <f t="shared" si="24"/>
        <v>Nov-2026</v>
      </c>
    </row>
    <row r="321" spans="1:11" x14ac:dyDescent="0.3">
      <c r="A321" s="3">
        <v>46331</v>
      </c>
      <c r="B321" s="2" t="str">
        <f t="shared" si="20"/>
        <v>Nov-2026</v>
      </c>
      <c r="C321">
        <v>126</v>
      </c>
      <c r="D321">
        <v>230</v>
      </c>
      <c r="E321">
        <v>175</v>
      </c>
      <c r="F321" s="1">
        <v>6448</v>
      </c>
      <c r="G321">
        <v>121</v>
      </c>
      <c r="H321">
        <f t="shared" si="21"/>
        <v>0.76086956521739135</v>
      </c>
      <c r="I321">
        <f t="shared" si="22"/>
        <v>1.8765508684863524E-2</v>
      </c>
      <c r="J321">
        <f t="shared" si="23"/>
        <v>5</v>
      </c>
      <c r="K321" t="str">
        <f t="shared" si="24"/>
        <v>Nov-2026</v>
      </c>
    </row>
    <row r="322" spans="1:11" x14ac:dyDescent="0.3">
      <c r="A322" s="3">
        <v>46332</v>
      </c>
      <c r="B322" s="2" t="str">
        <f t="shared" si="20"/>
        <v>Nov-2026</v>
      </c>
      <c r="C322">
        <v>121</v>
      </c>
      <c r="D322">
        <v>231</v>
      </c>
      <c r="E322">
        <v>219</v>
      </c>
      <c r="F322" s="1">
        <v>6375</v>
      </c>
      <c r="G322">
        <v>114</v>
      </c>
      <c r="H322">
        <f t="shared" si="21"/>
        <v>0.94805194805194803</v>
      </c>
      <c r="I322">
        <f t="shared" si="22"/>
        <v>1.7882352941176471E-2</v>
      </c>
      <c r="J322">
        <f t="shared" si="23"/>
        <v>7</v>
      </c>
      <c r="K322" t="str">
        <f t="shared" si="24"/>
        <v>Nov-2026</v>
      </c>
    </row>
    <row r="323" spans="1:11" x14ac:dyDescent="0.3">
      <c r="A323" s="3">
        <v>46333</v>
      </c>
      <c r="B323" s="2" t="str">
        <f t="shared" ref="B323:B386" si="25">TEXT(A323,"mmm-yyyy")</f>
        <v>Nov-2026</v>
      </c>
      <c r="C323">
        <v>131</v>
      </c>
      <c r="D323">
        <v>263</v>
      </c>
      <c r="E323">
        <v>177</v>
      </c>
      <c r="F323" s="1">
        <v>6272</v>
      </c>
      <c r="G323">
        <v>112</v>
      </c>
      <c r="H323">
        <f t="shared" ref="H323:H386" si="26">E323/D323</f>
        <v>0.6730038022813688</v>
      </c>
      <c r="I323">
        <f t="shared" ref="I323:I386" si="27">G323/F323</f>
        <v>1.7857142857142856E-2</v>
      </c>
      <c r="J323">
        <f t="shared" ref="J323:J386" si="28">C323-G323</f>
        <v>19</v>
      </c>
      <c r="K323" t="str">
        <f t="shared" ref="K323:K386" si="29">TEXT(A323,"mmm-yyyy")</f>
        <v>Nov-2026</v>
      </c>
    </row>
    <row r="324" spans="1:11" x14ac:dyDescent="0.3">
      <c r="A324" s="3">
        <v>46334</v>
      </c>
      <c r="B324" s="2" t="str">
        <f t="shared" si="25"/>
        <v>Nov-2026</v>
      </c>
      <c r="C324">
        <v>133</v>
      </c>
      <c r="D324">
        <v>270</v>
      </c>
      <c r="E324">
        <v>198</v>
      </c>
      <c r="F324" s="1">
        <v>6192</v>
      </c>
      <c r="G324">
        <v>129</v>
      </c>
      <c r="H324">
        <f t="shared" si="26"/>
        <v>0.73333333333333328</v>
      </c>
      <c r="I324">
        <f t="shared" si="27"/>
        <v>2.0833333333333332E-2</v>
      </c>
      <c r="J324">
        <f t="shared" si="28"/>
        <v>4</v>
      </c>
      <c r="K324" t="str">
        <f t="shared" si="29"/>
        <v>Nov-2026</v>
      </c>
    </row>
    <row r="325" spans="1:11" x14ac:dyDescent="0.3">
      <c r="A325" s="3">
        <v>46335</v>
      </c>
      <c r="B325" s="2" t="str">
        <f t="shared" si="25"/>
        <v>Nov-2026</v>
      </c>
      <c r="C325">
        <v>145</v>
      </c>
      <c r="D325">
        <v>295</v>
      </c>
      <c r="E325">
        <v>188</v>
      </c>
      <c r="F325" s="1">
        <v>6250</v>
      </c>
      <c r="G325">
        <v>169</v>
      </c>
      <c r="H325">
        <f t="shared" si="26"/>
        <v>0.63728813559322028</v>
      </c>
      <c r="I325">
        <f t="shared" si="27"/>
        <v>2.7040000000000002E-2</v>
      </c>
      <c r="J325">
        <f t="shared" si="28"/>
        <v>-24</v>
      </c>
      <c r="K325" t="str">
        <f t="shared" si="29"/>
        <v>Nov-2026</v>
      </c>
    </row>
    <row r="326" spans="1:11" x14ac:dyDescent="0.3">
      <c r="A326" s="3">
        <v>46336</v>
      </c>
      <c r="B326" s="2" t="str">
        <f t="shared" si="25"/>
        <v>Nov-2026</v>
      </c>
      <c r="C326">
        <v>170</v>
      </c>
      <c r="D326">
        <v>285</v>
      </c>
      <c r="E326">
        <v>178</v>
      </c>
      <c r="F326" s="1">
        <v>6227</v>
      </c>
      <c r="G326">
        <v>134</v>
      </c>
      <c r="H326">
        <f t="shared" si="26"/>
        <v>0.62456140350877198</v>
      </c>
      <c r="I326">
        <f t="shared" si="27"/>
        <v>2.1519190621487074E-2</v>
      </c>
      <c r="J326">
        <f t="shared" si="28"/>
        <v>36</v>
      </c>
      <c r="K326" t="str">
        <f t="shared" si="29"/>
        <v>Nov-2026</v>
      </c>
    </row>
    <row r="327" spans="1:11" x14ac:dyDescent="0.3">
      <c r="A327" s="3">
        <v>46337</v>
      </c>
      <c r="B327" s="2" t="str">
        <f t="shared" si="25"/>
        <v>Nov-2026</v>
      </c>
      <c r="C327">
        <v>149</v>
      </c>
      <c r="D327">
        <v>285</v>
      </c>
      <c r="E327">
        <v>222</v>
      </c>
      <c r="F327" s="1">
        <v>6152</v>
      </c>
      <c r="G327">
        <v>97</v>
      </c>
      <c r="H327">
        <f t="shared" si="26"/>
        <v>0.77894736842105261</v>
      </c>
      <c r="I327">
        <f t="shared" si="27"/>
        <v>1.5767230169050715E-2</v>
      </c>
      <c r="J327">
        <f t="shared" si="28"/>
        <v>52</v>
      </c>
      <c r="K327" t="str">
        <f t="shared" si="29"/>
        <v>Nov-2026</v>
      </c>
    </row>
    <row r="328" spans="1:11" x14ac:dyDescent="0.3">
      <c r="A328" s="3">
        <v>46338</v>
      </c>
      <c r="B328" s="2" t="str">
        <f t="shared" si="25"/>
        <v>Nov-2026</v>
      </c>
      <c r="C328">
        <v>182</v>
      </c>
      <c r="D328">
        <v>307</v>
      </c>
      <c r="E328">
        <v>205</v>
      </c>
      <c r="F328" s="1">
        <v>6054</v>
      </c>
      <c r="G328">
        <v>171</v>
      </c>
      <c r="H328">
        <f t="shared" si="26"/>
        <v>0.66775244299674263</v>
      </c>
      <c r="I328">
        <f t="shared" si="27"/>
        <v>2.8245787908820614E-2</v>
      </c>
      <c r="J328">
        <f t="shared" si="28"/>
        <v>11</v>
      </c>
      <c r="K328" t="str">
        <f t="shared" si="29"/>
        <v>Nov-2026</v>
      </c>
    </row>
    <row r="329" spans="1:11" x14ac:dyDescent="0.3">
      <c r="A329" s="3">
        <v>46339</v>
      </c>
      <c r="B329" s="2" t="str">
        <f t="shared" si="25"/>
        <v>Nov-2026</v>
      </c>
      <c r="C329">
        <v>134</v>
      </c>
      <c r="D329">
        <v>245</v>
      </c>
      <c r="E329">
        <v>167</v>
      </c>
      <c r="F329" s="1">
        <v>6028</v>
      </c>
      <c r="G329">
        <v>156</v>
      </c>
      <c r="H329">
        <f t="shared" si="26"/>
        <v>0.68163265306122445</v>
      </c>
      <c r="I329">
        <f t="shared" si="27"/>
        <v>2.5879230258792303E-2</v>
      </c>
      <c r="J329">
        <f t="shared" si="28"/>
        <v>-22</v>
      </c>
      <c r="K329" t="str">
        <f t="shared" si="29"/>
        <v>Nov-2026</v>
      </c>
    </row>
    <row r="330" spans="1:11" x14ac:dyDescent="0.3">
      <c r="A330" s="3">
        <v>46340</v>
      </c>
      <c r="B330" s="2" t="str">
        <f t="shared" si="25"/>
        <v>Nov-2026</v>
      </c>
      <c r="C330">
        <v>136</v>
      </c>
      <c r="D330">
        <v>274</v>
      </c>
      <c r="E330">
        <v>245</v>
      </c>
      <c r="F330" s="1">
        <v>5995</v>
      </c>
      <c r="G330">
        <v>112</v>
      </c>
      <c r="H330">
        <f t="shared" si="26"/>
        <v>0.8941605839416058</v>
      </c>
      <c r="I330">
        <f t="shared" si="27"/>
        <v>1.8682235195996665E-2</v>
      </c>
      <c r="J330">
        <f t="shared" si="28"/>
        <v>24</v>
      </c>
      <c r="K330" t="str">
        <f t="shared" si="29"/>
        <v>Nov-2026</v>
      </c>
    </row>
    <row r="331" spans="1:11" x14ac:dyDescent="0.3">
      <c r="A331" s="3">
        <v>46341</v>
      </c>
      <c r="B331" s="2" t="str">
        <f t="shared" si="25"/>
        <v>Nov-2026</v>
      </c>
      <c r="C331">
        <v>176</v>
      </c>
      <c r="D331">
        <v>254</v>
      </c>
      <c r="E331">
        <v>162</v>
      </c>
      <c r="F331" s="1">
        <v>5865</v>
      </c>
      <c r="G331">
        <v>158</v>
      </c>
      <c r="H331">
        <f t="shared" si="26"/>
        <v>0.63779527559055116</v>
      </c>
      <c r="I331">
        <f t="shared" si="27"/>
        <v>2.6939471440750214E-2</v>
      </c>
      <c r="J331">
        <f t="shared" si="28"/>
        <v>18</v>
      </c>
      <c r="K331" t="str">
        <f t="shared" si="29"/>
        <v>Nov-2026</v>
      </c>
    </row>
    <row r="332" spans="1:11" x14ac:dyDescent="0.3">
      <c r="A332" s="3">
        <v>46342</v>
      </c>
      <c r="B332" s="2" t="str">
        <f t="shared" si="25"/>
        <v>Nov-2026</v>
      </c>
      <c r="C332">
        <v>86</v>
      </c>
      <c r="D332">
        <v>244</v>
      </c>
      <c r="E332">
        <v>235</v>
      </c>
      <c r="F332" s="1">
        <v>5821</v>
      </c>
      <c r="G332">
        <v>178</v>
      </c>
      <c r="H332">
        <f t="shared" si="26"/>
        <v>0.96311475409836067</v>
      </c>
      <c r="I332">
        <f t="shared" si="27"/>
        <v>3.0578938326747983E-2</v>
      </c>
      <c r="J332">
        <f t="shared" si="28"/>
        <v>-92</v>
      </c>
      <c r="K332" t="str">
        <f t="shared" si="29"/>
        <v>Nov-2026</v>
      </c>
    </row>
    <row r="333" spans="1:11" x14ac:dyDescent="0.3">
      <c r="A333" s="3">
        <v>46343</v>
      </c>
      <c r="B333" s="2" t="str">
        <f t="shared" si="25"/>
        <v>Nov-2026</v>
      </c>
      <c r="C333">
        <v>124</v>
      </c>
      <c r="D333">
        <v>241</v>
      </c>
      <c r="E333">
        <v>156</v>
      </c>
      <c r="F333" s="1">
        <v>5895</v>
      </c>
      <c r="G333">
        <v>220</v>
      </c>
      <c r="H333">
        <f t="shared" si="26"/>
        <v>0.64730290456431538</v>
      </c>
      <c r="I333">
        <f t="shared" si="27"/>
        <v>3.7319762510602206E-2</v>
      </c>
      <c r="J333">
        <f t="shared" si="28"/>
        <v>-96</v>
      </c>
      <c r="K333" t="str">
        <f t="shared" si="29"/>
        <v>Nov-2026</v>
      </c>
    </row>
    <row r="334" spans="1:11" x14ac:dyDescent="0.3">
      <c r="A334" s="3">
        <v>46344</v>
      </c>
      <c r="B334" s="2" t="str">
        <f t="shared" si="25"/>
        <v>Nov-2026</v>
      </c>
      <c r="C334">
        <v>109</v>
      </c>
      <c r="D334">
        <v>226</v>
      </c>
      <c r="E334">
        <v>191</v>
      </c>
      <c r="F334" s="1">
        <v>5987</v>
      </c>
      <c r="G334">
        <v>178</v>
      </c>
      <c r="H334">
        <f t="shared" si="26"/>
        <v>0.84513274336283184</v>
      </c>
      <c r="I334">
        <f t="shared" si="27"/>
        <v>2.9731084015366626E-2</v>
      </c>
      <c r="J334">
        <f t="shared" si="28"/>
        <v>-69</v>
      </c>
      <c r="K334" t="str">
        <f t="shared" si="29"/>
        <v>Nov-2026</v>
      </c>
    </row>
    <row r="335" spans="1:11" x14ac:dyDescent="0.3">
      <c r="A335" s="3">
        <v>46345</v>
      </c>
      <c r="B335" s="2" t="str">
        <f t="shared" si="25"/>
        <v>Nov-2026</v>
      </c>
      <c r="C335">
        <v>162</v>
      </c>
      <c r="D335">
        <v>239</v>
      </c>
      <c r="E335">
        <v>189</v>
      </c>
      <c r="F335" s="1">
        <v>5981</v>
      </c>
      <c r="G335">
        <v>123</v>
      </c>
      <c r="H335">
        <f t="shared" si="26"/>
        <v>0.79079497907949792</v>
      </c>
      <c r="I335">
        <f t="shared" si="27"/>
        <v>2.0565122889148971E-2</v>
      </c>
      <c r="J335">
        <f t="shared" si="28"/>
        <v>39</v>
      </c>
      <c r="K335" t="str">
        <f t="shared" si="29"/>
        <v>Nov-2026</v>
      </c>
    </row>
    <row r="336" spans="1:11" x14ac:dyDescent="0.3">
      <c r="A336" s="3">
        <v>46346</v>
      </c>
      <c r="B336" s="2" t="str">
        <f t="shared" si="25"/>
        <v>Nov-2026</v>
      </c>
      <c r="C336">
        <v>109</v>
      </c>
      <c r="D336">
        <v>219</v>
      </c>
      <c r="E336">
        <v>155</v>
      </c>
      <c r="F336" s="1">
        <v>5903</v>
      </c>
      <c r="G336">
        <v>148</v>
      </c>
      <c r="H336">
        <f t="shared" si="26"/>
        <v>0.70776255707762559</v>
      </c>
      <c r="I336">
        <f t="shared" si="27"/>
        <v>2.5071997289513807E-2</v>
      </c>
      <c r="J336">
        <f t="shared" si="28"/>
        <v>-39</v>
      </c>
      <c r="K336" t="str">
        <f t="shared" si="29"/>
        <v>Nov-2026</v>
      </c>
    </row>
    <row r="337" spans="1:11" x14ac:dyDescent="0.3">
      <c r="A337" s="3">
        <v>46347</v>
      </c>
      <c r="B337" s="2" t="str">
        <f t="shared" si="25"/>
        <v>Nov-2026</v>
      </c>
      <c r="C337">
        <v>95</v>
      </c>
      <c r="D337">
        <v>211</v>
      </c>
      <c r="E337">
        <v>140</v>
      </c>
      <c r="F337" s="1">
        <v>5894</v>
      </c>
      <c r="G337">
        <v>249</v>
      </c>
      <c r="H337">
        <f t="shared" si="26"/>
        <v>0.6635071090047393</v>
      </c>
      <c r="I337">
        <f t="shared" si="27"/>
        <v>4.2246352222599252E-2</v>
      </c>
      <c r="J337">
        <f t="shared" si="28"/>
        <v>-154</v>
      </c>
      <c r="K337" t="str">
        <f t="shared" si="29"/>
        <v>Nov-2026</v>
      </c>
    </row>
    <row r="338" spans="1:11" x14ac:dyDescent="0.3">
      <c r="A338" s="3">
        <v>46348</v>
      </c>
      <c r="B338" s="2" t="str">
        <f t="shared" si="25"/>
        <v>Nov-2026</v>
      </c>
      <c r="C338">
        <v>119</v>
      </c>
      <c r="D338">
        <v>230</v>
      </c>
      <c r="E338">
        <v>213</v>
      </c>
      <c r="F338" s="1">
        <v>6084</v>
      </c>
      <c r="G338">
        <v>174</v>
      </c>
      <c r="H338">
        <f t="shared" si="26"/>
        <v>0.92608695652173911</v>
      </c>
      <c r="I338">
        <f t="shared" si="27"/>
        <v>2.8599605522682446E-2</v>
      </c>
      <c r="J338">
        <f t="shared" si="28"/>
        <v>-55</v>
      </c>
      <c r="K338" t="str">
        <f t="shared" si="29"/>
        <v>Nov-2026</v>
      </c>
    </row>
    <row r="339" spans="1:11" x14ac:dyDescent="0.3">
      <c r="A339" s="3">
        <v>46349</v>
      </c>
      <c r="B339" s="2" t="str">
        <f t="shared" si="25"/>
        <v>Nov-2026</v>
      </c>
      <c r="C339">
        <v>135</v>
      </c>
      <c r="D339">
        <v>273</v>
      </c>
      <c r="E339">
        <v>207</v>
      </c>
      <c r="F339" s="1">
        <v>6038</v>
      </c>
      <c r="G339">
        <v>174</v>
      </c>
      <c r="H339">
        <f t="shared" si="26"/>
        <v>0.75824175824175821</v>
      </c>
      <c r="I339">
        <f t="shared" si="27"/>
        <v>2.8817489234845974E-2</v>
      </c>
      <c r="J339">
        <f t="shared" si="28"/>
        <v>-39</v>
      </c>
      <c r="K339" t="str">
        <f t="shared" si="29"/>
        <v>Nov-2026</v>
      </c>
    </row>
    <row r="340" spans="1:11" x14ac:dyDescent="0.3">
      <c r="A340" s="3">
        <v>46350</v>
      </c>
      <c r="B340" s="2" t="str">
        <f t="shared" si="25"/>
        <v>Nov-2026</v>
      </c>
      <c r="C340">
        <v>163</v>
      </c>
      <c r="D340">
        <v>283</v>
      </c>
      <c r="E340">
        <v>200</v>
      </c>
      <c r="F340" s="1">
        <v>5998</v>
      </c>
      <c r="G340">
        <v>143</v>
      </c>
      <c r="H340">
        <f t="shared" si="26"/>
        <v>0.70671378091872794</v>
      </c>
      <c r="I340">
        <f t="shared" si="27"/>
        <v>2.3841280426808935E-2</v>
      </c>
      <c r="J340">
        <f t="shared" si="28"/>
        <v>20</v>
      </c>
      <c r="K340" t="str">
        <f t="shared" si="29"/>
        <v>Nov-2026</v>
      </c>
    </row>
    <row r="341" spans="1:11" x14ac:dyDescent="0.3">
      <c r="A341" s="3">
        <v>46351</v>
      </c>
      <c r="B341" s="2" t="str">
        <f t="shared" si="25"/>
        <v>Nov-2026</v>
      </c>
      <c r="C341">
        <v>172</v>
      </c>
      <c r="D341">
        <v>259</v>
      </c>
      <c r="E341">
        <v>138</v>
      </c>
      <c r="F341" s="1">
        <v>5950</v>
      </c>
      <c r="G341">
        <v>150</v>
      </c>
      <c r="H341">
        <f t="shared" si="26"/>
        <v>0.53281853281853286</v>
      </c>
      <c r="I341">
        <f t="shared" si="27"/>
        <v>2.5210084033613446E-2</v>
      </c>
      <c r="J341">
        <f t="shared" si="28"/>
        <v>22</v>
      </c>
      <c r="K341" t="str">
        <f t="shared" si="29"/>
        <v>Nov-2026</v>
      </c>
    </row>
    <row r="342" spans="1:11" x14ac:dyDescent="0.3">
      <c r="A342" s="3">
        <v>46352</v>
      </c>
      <c r="B342" s="2" t="str">
        <f t="shared" si="25"/>
        <v>Nov-2026</v>
      </c>
      <c r="C342">
        <v>63</v>
      </c>
      <c r="D342">
        <v>167</v>
      </c>
      <c r="E342">
        <v>143</v>
      </c>
      <c r="F342" s="1">
        <v>5943</v>
      </c>
      <c r="G342">
        <v>170</v>
      </c>
      <c r="H342">
        <f t="shared" si="26"/>
        <v>0.85628742514970058</v>
      </c>
      <c r="I342">
        <f t="shared" si="27"/>
        <v>2.8605081608615177E-2</v>
      </c>
      <c r="J342">
        <f t="shared" si="28"/>
        <v>-107</v>
      </c>
      <c r="K342" t="str">
        <f t="shared" si="29"/>
        <v>Nov-2026</v>
      </c>
    </row>
    <row r="343" spans="1:11" x14ac:dyDescent="0.3">
      <c r="A343" s="3">
        <v>46353</v>
      </c>
      <c r="B343" s="2" t="str">
        <f t="shared" si="25"/>
        <v>Nov-2026</v>
      </c>
      <c r="C343">
        <v>227</v>
      </c>
      <c r="D343">
        <v>298</v>
      </c>
      <c r="E343">
        <v>212</v>
      </c>
      <c r="F343" s="1">
        <v>6016</v>
      </c>
      <c r="G343">
        <v>169</v>
      </c>
      <c r="H343">
        <f t="shared" si="26"/>
        <v>0.71140939597315433</v>
      </c>
      <c r="I343">
        <f t="shared" si="27"/>
        <v>2.8091755319148936E-2</v>
      </c>
      <c r="J343">
        <f t="shared" si="28"/>
        <v>58</v>
      </c>
      <c r="K343" t="str">
        <f t="shared" si="29"/>
        <v>Nov-2026</v>
      </c>
    </row>
    <row r="344" spans="1:11" x14ac:dyDescent="0.3">
      <c r="A344" s="3">
        <v>46354</v>
      </c>
      <c r="B344" s="2" t="str">
        <f t="shared" si="25"/>
        <v>Nov-2026</v>
      </c>
      <c r="C344">
        <v>140</v>
      </c>
      <c r="D344">
        <v>261</v>
      </c>
      <c r="E344">
        <v>163</v>
      </c>
      <c r="F344" s="1">
        <v>5963</v>
      </c>
      <c r="G344">
        <v>154</v>
      </c>
      <c r="H344">
        <f t="shared" si="26"/>
        <v>0.62452107279693492</v>
      </c>
      <c r="I344">
        <f t="shared" si="27"/>
        <v>2.5825926547040079E-2</v>
      </c>
      <c r="J344">
        <f t="shared" si="28"/>
        <v>-14</v>
      </c>
      <c r="K344" t="str">
        <f t="shared" si="29"/>
        <v>Nov-2026</v>
      </c>
    </row>
    <row r="345" spans="1:11" x14ac:dyDescent="0.3">
      <c r="A345" s="3">
        <v>46355</v>
      </c>
      <c r="B345" s="2" t="str">
        <f t="shared" si="25"/>
        <v>Nov-2026</v>
      </c>
      <c r="C345">
        <v>125</v>
      </c>
      <c r="D345">
        <v>203</v>
      </c>
      <c r="E345">
        <v>208</v>
      </c>
      <c r="F345" s="1">
        <v>5930</v>
      </c>
      <c r="G345">
        <v>92</v>
      </c>
      <c r="H345">
        <f t="shared" si="26"/>
        <v>1.0246305418719213</v>
      </c>
      <c r="I345">
        <f t="shared" si="27"/>
        <v>1.551433389544688E-2</v>
      </c>
      <c r="J345">
        <f t="shared" si="28"/>
        <v>33</v>
      </c>
      <c r="K345" t="str">
        <f t="shared" si="29"/>
        <v>Nov-2026</v>
      </c>
    </row>
    <row r="346" spans="1:11" x14ac:dyDescent="0.3">
      <c r="A346" s="3">
        <v>46356</v>
      </c>
      <c r="B346" s="2" t="str">
        <f t="shared" si="25"/>
        <v>Nov-2026</v>
      </c>
      <c r="C346">
        <v>114</v>
      </c>
      <c r="D346">
        <v>210</v>
      </c>
      <c r="E346">
        <v>219</v>
      </c>
      <c r="F346" s="1">
        <v>5819</v>
      </c>
      <c r="G346">
        <v>163</v>
      </c>
      <c r="H346">
        <f t="shared" si="26"/>
        <v>1.0428571428571429</v>
      </c>
      <c r="I346">
        <f t="shared" si="27"/>
        <v>2.8011685856676405E-2</v>
      </c>
      <c r="J346">
        <f t="shared" si="28"/>
        <v>-49</v>
      </c>
      <c r="K346" t="str">
        <f t="shared" si="29"/>
        <v>Nov-2026</v>
      </c>
    </row>
    <row r="347" spans="1:11" x14ac:dyDescent="0.3">
      <c r="A347" s="3">
        <v>46357</v>
      </c>
      <c r="B347" s="2" t="str">
        <f t="shared" si="25"/>
        <v>Dec-2026</v>
      </c>
      <c r="C347">
        <v>152</v>
      </c>
      <c r="D347">
        <v>290</v>
      </c>
      <c r="E347">
        <v>199</v>
      </c>
      <c r="F347" s="1">
        <v>5743</v>
      </c>
      <c r="G347">
        <v>207</v>
      </c>
      <c r="H347">
        <f t="shared" si="26"/>
        <v>0.68620689655172418</v>
      </c>
      <c r="I347">
        <f t="shared" si="27"/>
        <v>3.604387950548494E-2</v>
      </c>
      <c r="J347">
        <f t="shared" si="28"/>
        <v>-55</v>
      </c>
      <c r="K347" t="str">
        <f t="shared" si="29"/>
        <v>Dec-2026</v>
      </c>
    </row>
    <row r="348" spans="1:11" x14ac:dyDescent="0.3">
      <c r="A348" s="3">
        <v>46358</v>
      </c>
      <c r="B348" s="2" t="str">
        <f t="shared" si="25"/>
        <v>Dec-2026</v>
      </c>
      <c r="C348">
        <v>93</v>
      </c>
      <c r="D348">
        <v>198</v>
      </c>
      <c r="E348">
        <v>208</v>
      </c>
      <c r="F348" s="1">
        <v>5954</v>
      </c>
      <c r="G348">
        <v>194</v>
      </c>
      <c r="H348">
        <f t="shared" si="26"/>
        <v>1.0505050505050506</v>
      </c>
      <c r="I348">
        <f t="shared" si="27"/>
        <v>3.2583137386630837E-2</v>
      </c>
      <c r="J348">
        <f t="shared" si="28"/>
        <v>-101</v>
      </c>
      <c r="K348" t="str">
        <f t="shared" si="29"/>
        <v>Dec-2026</v>
      </c>
    </row>
    <row r="349" spans="1:11" x14ac:dyDescent="0.3">
      <c r="A349" s="3">
        <v>46359</v>
      </c>
      <c r="B349" s="2" t="str">
        <f t="shared" si="25"/>
        <v>Dec-2026</v>
      </c>
      <c r="C349">
        <v>137</v>
      </c>
      <c r="D349">
        <v>272</v>
      </c>
      <c r="E349">
        <v>166</v>
      </c>
      <c r="F349" s="1">
        <v>5927</v>
      </c>
      <c r="G349">
        <v>177</v>
      </c>
      <c r="H349">
        <f t="shared" si="26"/>
        <v>0.61029411764705888</v>
      </c>
      <c r="I349">
        <f t="shared" si="27"/>
        <v>2.9863337270119791E-2</v>
      </c>
      <c r="J349">
        <f t="shared" si="28"/>
        <v>-40</v>
      </c>
      <c r="K349" t="str">
        <f t="shared" si="29"/>
        <v>Dec-2026</v>
      </c>
    </row>
    <row r="350" spans="1:11" x14ac:dyDescent="0.3">
      <c r="A350" s="3">
        <v>46360</v>
      </c>
      <c r="B350" s="2" t="str">
        <f t="shared" si="25"/>
        <v>Dec-2026</v>
      </c>
      <c r="C350">
        <v>120</v>
      </c>
      <c r="D350">
        <v>257</v>
      </c>
      <c r="E350">
        <v>126</v>
      </c>
      <c r="F350" s="1">
        <v>5965</v>
      </c>
      <c r="G350">
        <v>170</v>
      </c>
      <c r="H350">
        <f t="shared" si="26"/>
        <v>0.49027237354085601</v>
      </c>
      <c r="I350">
        <f t="shared" si="27"/>
        <v>2.8499580888516344E-2</v>
      </c>
      <c r="J350">
        <f t="shared" si="28"/>
        <v>-50</v>
      </c>
      <c r="K350" t="str">
        <f t="shared" si="29"/>
        <v>Dec-2026</v>
      </c>
    </row>
    <row r="351" spans="1:11" x14ac:dyDescent="0.3">
      <c r="A351" s="3">
        <v>46361</v>
      </c>
      <c r="B351" s="2" t="str">
        <f t="shared" si="25"/>
        <v>Dec-2026</v>
      </c>
      <c r="C351">
        <v>102</v>
      </c>
      <c r="D351">
        <v>189</v>
      </c>
      <c r="E351">
        <v>155</v>
      </c>
      <c r="F351" s="1">
        <v>6002</v>
      </c>
      <c r="G351">
        <v>234</v>
      </c>
      <c r="H351">
        <f t="shared" si="26"/>
        <v>0.82010582010582012</v>
      </c>
      <c r="I351">
        <f t="shared" si="27"/>
        <v>3.8987004331889369E-2</v>
      </c>
      <c r="J351">
        <f t="shared" si="28"/>
        <v>-132</v>
      </c>
      <c r="K351" t="str">
        <f t="shared" si="29"/>
        <v>Dec-2026</v>
      </c>
    </row>
    <row r="352" spans="1:11" x14ac:dyDescent="0.3">
      <c r="A352" s="3">
        <v>46362</v>
      </c>
      <c r="B352" s="2" t="str">
        <f t="shared" si="25"/>
        <v>Dec-2026</v>
      </c>
      <c r="C352">
        <v>90</v>
      </c>
      <c r="D352">
        <v>196</v>
      </c>
      <c r="E352">
        <v>205</v>
      </c>
      <c r="F352" s="1">
        <v>6058</v>
      </c>
      <c r="G352">
        <v>262</v>
      </c>
      <c r="H352">
        <f t="shared" si="26"/>
        <v>1.0459183673469388</v>
      </c>
      <c r="I352">
        <f t="shared" si="27"/>
        <v>4.3248596896665568E-2</v>
      </c>
      <c r="J352">
        <f t="shared" si="28"/>
        <v>-172</v>
      </c>
      <c r="K352" t="str">
        <f t="shared" si="29"/>
        <v>Dec-2026</v>
      </c>
    </row>
    <row r="353" spans="1:11" x14ac:dyDescent="0.3">
      <c r="A353" s="3">
        <v>46363</v>
      </c>
      <c r="B353" s="2" t="str">
        <f t="shared" si="25"/>
        <v>Dec-2026</v>
      </c>
      <c r="C353">
        <v>128</v>
      </c>
      <c r="D353">
        <v>228</v>
      </c>
      <c r="E353">
        <v>177</v>
      </c>
      <c r="F353" s="1">
        <v>6228</v>
      </c>
      <c r="G353">
        <v>187</v>
      </c>
      <c r="H353">
        <f t="shared" si="26"/>
        <v>0.77631578947368418</v>
      </c>
      <c r="I353">
        <f t="shared" si="27"/>
        <v>3.0025690430314708E-2</v>
      </c>
      <c r="J353">
        <f t="shared" si="28"/>
        <v>-59</v>
      </c>
      <c r="K353" t="str">
        <f t="shared" si="29"/>
        <v>Dec-2026</v>
      </c>
    </row>
    <row r="354" spans="1:11" x14ac:dyDescent="0.3">
      <c r="A354" s="3">
        <v>46364</v>
      </c>
      <c r="B354" s="2" t="str">
        <f t="shared" si="25"/>
        <v>Dec-2026</v>
      </c>
      <c r="C354">
        <v>136</v>
      </c>
      <c r="D354">
        <v>246</v>
      </c>
      <c r="E354">
        <v>123</v>
      </c>
      <c r="F354" s="1">
        <v>6239</v>
      </c>
      <c r="G354">
        <v>173</v>
      </c>
      <c r="H354">
        <f t="shared" si="26"/>
        <v>0.5</v>
      </c>
      <c r="I354">
        <f t="shared" si="27"/>
        <v>2.772880269273922E-2</v>
      </c>
      <c r="J354">
        <f t="shared" si="28"/>
        <v>-37</v>
      </c>
      <c r="K354" t="str">
        <f t="shared" si="29"/>
        <v>Dec-2026</v>
      </c>
    </row>
    <row r="355" spans="1:11" x14ac:dyDescent="0.3">
      <c r="A355" s="3">
        <v>46365</v>
      </c>
      <c r="B355" s="2" t="str">
        <f t="shared" si="25"/>
        <v>Dec-2026</v>
      </c>
      <c r="C355">
        <v>105</v>
      </c>
      <c r="D355">
        <v>185</v>
      </c>
      <c r="E355">
        <v>158</v>
      </c>
      <c r="F355" s="1">
        <v>6283</v>
      </c>
      <c r="G355">
        <v>171</v>
      </c>
      <c r="H355">
        <f t="shared" si="26"/>
        <v>0.8540540540540541</v>
      </c>
      <c r="I355">
        <f t="shared" si="27"/>
        <v>2.7216297946840683E-2</v>
      </c>
      <c r="J355">
        <f t="shared" si="28"/>
        <v>-66</v>
      </c>
      <c r="K355" t="str">
        <f t="shared" si="29"/>
        <v>Dec-2026</v>
      </c>
    </row>
    <row r="356" spans="1:11" x14ac:dyDescent="0.3">
      <c r="A356" s="3">
        <v>46366</v>
      </c>
      <c r="B356" s="2" t="str">
        <f t="shared" si="25"/>
        <v>Dec-2026</v>
      </c>
      <c r="C356">
        <v>116</v>
      </c>
      <c r="D356">
        <v>188</v>
      </c>
      <c r="E356">
        <v>164</v>
      </c>
      <c r="F356" s="1">
        <v>6308</v>
      </c>
      <c r="G356">
        <v>237</v>
      </c>
      <c r="H356">
        <f t="shared" si="26"/>
        <v>0.87234042553191493</v>
      </c>
      <c r="I356">
        <f t="shared" si="27"/>
        <v>3.7571337983512997E-2</v>
      </c>
      <c r="J356">
        <f t="shared" si="28"/>
        <v>-121</v>
      </c>
      <c r="K356" t="str">
        <f t="shared" si="29"/>
        <v>Dec-2026</v>
      </c>
    </row>
    <row r="357" spans="1:11" x14ac:dyDescent="0.3">
      <c r="A357" s="3">
        <v>46367</v>
      </c>
      <c r="B357" s="2" t="str">
        <f t="shared" si="25"/>
        <v>Dec-2026</v>
      </c>
      <c r="C357">
        <v>80</v>
      </c>
      <c r="D357">
        <v>176</v>
      </c>
      <c r="E357">
        <v>125</v>
      </c>
      <c r="F357" s="1">
        <v>6640</v>
      </c>
      <c r="G357">
        <v>197</v>
      </c>
      <c r="H357">
        <f t="shared" si="26"/>
        <v>0.71022727272727271</v>
      </c>
      <c r="I357">
        <f t="shared" si="27"/>
        <v>2.966867469879518E-2</v>
      </c>
      <c r="J357">
        <f t="shared" si="28"/>
        <v>-117</v>
      </c>
      <c r="K357" t="str">
        <f t="shared" si="29"/>
        <v>Dec-2026</v>
      </c>
    </row>
    <row r="358" spans="1:11" x14ac:dyDescent="0.3">
      <c r="A358" s="3">
        <v>46368</v>
      </c>
      <c r="B358" s="2" t="str">
        <f t="shared" si="25"/>
        <v>Dec-2026</v>
      </c>
      <c r="C358">
        <v>150</v>
      </c>
      <c r="D358">
        <v>157</v>
      </c>
      <c r="E358">
        <v>201</v>
      </c>
      <c r="F358" s="1">
        <v>6649</v>
      </c>
      <c r="G358">
        <v>177</v>
      </c>
      <c r="H358">
        <f t="shared" si="26"/>
        <v>1.2802547770700636</v>
      </c>
      <c r="I358">
        <f t="shared" si="27"/>
        <v>2.6620544442773349E-2</v>
      </c>
      <c r="J358">
        <f t="shared" si="28"/>
        <v>-27</v>
      </c>
      <c r="K358" t="str">
        <f t="shared" si="29"/>
        <v>Dec-2026</v>
      </c>
    </row>
    <row r="359" spans="1:11" x14ac:dyDescent="0.3">
      <c r="A359" s="3">
        <v>46369</v>
      </c>
      <c r="B359" s="2" t="str">
        <f t="shared" si="25"/>
        <v>Dec-2026</v>
      </c>
      <c r="C359">
        <v>116</v>
      </c>
      <c r="D359">
        <v>181</v>
      </c>
      <c r="E359">
        <v>182</v>
      </c>
      <c r="F359" s="1">
        <v>6651</v>
      </c>
      <c r="G359">
        <v>130</v>
      </c>
      <c r="H359">
        <f t="shared" si="26"/>
        <v>1.0055248618784531</v>
      </c>
      <c r="I359">
        <f t="shared" si="27"/>
        <v>1.9545932942414676E-2</v>
      </c>
      <c r="J359">
        <f t="shared" si="28"/>
        <v>-14</v>
      </c>
      <c r="K359" t="str">
        <f t="shared" si="29"/>
        <v>Dec-2026</v>
      </c>
    </row>
    <row r="360" spans="1:11" x14ac:dyDescent="0.3">
      <c r="A360" s="3">
        <v>46370</v>
      </c>
      <c r="B360" s="2" t="str">
        <f t="shared" si="25"/>
        <v>Dec-2026</v>
      </c>
      <c r="C360">
        <v>141</v>
      </c>
      <c r="D360">
        <v>173</v>
      </c>
      <c r="E360">
        <v>129</v>
      </c>
      <c r="F360" s="1">
        <v>6617</v>
      </c>
      <c r="G360">
        <v>123</v>
      </c>
      <c r="H360">
        <f t="shared" si="26"/>
        <v>0.74566473988439308</v>
      </c>
      <c r="I360">
        <f t="shared" si="27"/>
        <v>1.8588484207344717E-2</v>
      </c>
      <c r="J360">
        <f t="shared" si="28"/>
        <v>18</v>
      </c>
      <c r="K360" t="str">
        <f t="shared" si="29"/>
        <v>Dec-2026</v>
      </c>
    </row>
    <row r="361" spans="1:11" x14ac:dyDescent="0.3">
      <c r="A361" s="3">
        <v>46371</v>
      </c>
      <c r="B361" s="2" t="str">
        <f t="shared" si="25"/>
        <v>Dec-2026</v>
      </c>
      <c r="C361">
        <v>96</v>
      </c>
      <c r="D361">
        <v>160</v>
      </c>
      <c r="E361">
        <v>233</v>
      </c>
      <c r="F361" s="1">
        <v>6599</v>
      </c>
      <c r="G361">
        <v>213</v>
      </c>
      <c r="H361">
        <f t="shared" si="26"/>
        <v>1.45625</v>
      </c>
      <c r="I361">
        <f t="shared" si="27"/>
        <v>3.2277617820881954E-2</v>
      </c>
      <c r="J361">
        <f t="shared" si="28"/>
        <v>-117</v>
      </c>
      <c r="K361" t="str">
        <f t="shared" si="29"/>
        <v>Dec-2026</v>
      </c>
    </row>
    <row r="362" spans="1:11" x14ac:dyDescent="0.3">
      <c r="A362" s="3">
        <v>46372</v>
      </c>
      <c r="B362" s="2" t="str">
        <f t="shared" si="25"/>
        <v>Dec-2026</v>
      </c>
      <c r="C362">
        <v>158</v>
      </c>
      <c r="D362">
        <v>226</v>
      </c>
      <c r="E362">
        <v>191</v>
      </c>
      <c r="F362" s="1">
        <v>6790</v>
      </c>
      <c r="G362">
        <v>225</v>
      </c>
      <c r="H362">
        <f t="shared" si="26"/>
        <v>0.84513274336283184</v>
      </c>
      <c r="I362">
        <f t="shared" si="27"/>
        <v>3.3136966126656849E-2</v>
      </c>
      <c r="J362">
        <f t="shared" si="28"/>
        <v>-67</v>
      </c>
      <c r="K362" t="str">
        <f t="shared" si="29"/>
        <v>Dec-2026</v>
      </c>
    </row>
    <row r="363" spans="1:11" x14ac:dyDescent="0.3">
      <c r="A363" s="3">
        <v>46373</v>
      </c>
      <c r="B363" s="2" t="str">
        <f t="shared" si="25"/>
        <v>Dec-2026</v>
      </c>
      <c r="C363">
        <v>141</v>
      </c>
      <c r="D363">
        <v>232</v>
      </c>
      <c r="E363">
        <v>188</v>
      </c>
      <c r="F363" s="1">
        <v>6823</v>
      </c>
      <c r="G363">
        <v>184</v>
      </c>
      <c r="H363">
        <f t="shared" si="26"/>
        <v>0.81034482758620685</v>
      </c>
      <c r="I363">
        <f t="shared" si="27"/>
        <v>2.6967609555913822E-2</v>
      </c>
      <c r="J363">
        <f t="shared" si="28"/>
        <v>-43</v>
      </c>
      <c r="K363" t="str">
        <f t="shared" si="29"/>
        <v>Dec-2026</v>
      </c>
    </row>
    <row r="364" spans="1:11" x14ac:dyDescent="0.3">
      <c r="A364" s="3">
        <v>46374</v>
      </c>
      <c r="B364" s="2" t="str">
        <f t="shared" si="25"/>
        <v>Dec-2026</v>
      </c>
      <c r="C364">
        <v>123</v>
      </c>
      <c r="D364">
        <v>233</v>
      </c>
      <c r="E364">
        <v>159</v>
      </c>
      <c r="F364" s="1">
        <v>6825</v>
      </c>
      <c r="G364">
        <v>229</v>
      </c>
      <c r="H364">
        <f t="shared" si="26"/>
        <v>0.68240343347639487</v>
      </c>
      <c r="I364">
        <f t="shared" si="27"/>
        <v>3.355311355311355E-2</v>
      </c>
      <c r="J364">
        <f t="shared" si="28"/>
        <v>-106</v>
      </c>
      <c r="K364" t="str">
        <f t="shared" si="29"/>
        <v>Dec-2026</v>
      </c>
    </row>
    <row r="365" spans="1:11" x14ac:dyDescent="0.3">
      <c r="A365" s="3">
        <v>46375</v>
      </c>
      <c r="B365" s="2" t="str">
        <f t="shared" si="25"/>
        <v>Dec-2026</v>
      </c>
      <c r="C365">
        <v>123</v>
      </c>
      <c r="D365">
        <v>230</v>
      </c>
      <c r="E365">
        <v>167</v>
      </c>
      <c r="F365" s="1">
        <v>6874</v>
      </c>
      <c r="G365">
        <v>273</v>
      </c>
      <c r="H365">
        <f t="shared" si="26"/>
        <v>0.72608695652173916</v>
      </c>
      <c r="I365">
        <f t="shared" si="27"/>
        <v>3.9714867617107942E-2</v>
      </c>
      <c r="J365">
        <f t="shared" si="28"/>
        <v>-150</v>
      </c>
      <c r="K365" t="str">
        <f t="shared" si="29"/>
        <v>Dec-2026</v>
      </c>
    </row>
    <row r="366" spans="1:11" x14ac:dyDescent="0.3">
      <c r="A366" s="3">
        <v>46376</v>
      </c>
      <c r="B366" s="2" t="str">
        <f t="shared" si="25"/>
        <v>Dec-2026</v>
      </c>
      <c r="C366">
        <v>174</v>
      </c>
      <c r="D366">
        <v>208</v>
      </c>
      <c r="E366">
        <v>256</v>
      </c>
      <c r="F366" s="1">
        <v>7248</v>
      </c>
      <c r="G366">
        <v>268</v>
      </c>
      <c r="H366">
        <f t="shared" si="26"/>
        <v>1.2307692307692308</v>
      </c>
      <c r="I366">
        <f t="shared" si="27"/>
        <v>3.69757174392936E-2</v>
      </c>
      <c r="J366">
        <f t="shared" si="28"/>
        <v>-94</v>
      </c>
      <c r="K366" t="str">
        <f t="shared" si="29"/>
        <v>Dec-2026</v>
      </c>
    </row>
    <row r="367" spans="1:11" x14ac:dyDescent="0.3">
      <c r="A367" s="3">
        <v>46377</v>
      </c>
      <c r="B367" s="2" t="str">
        <f t="shared" si="25"/>
        <v>Dec-2026</v>
      </c>
      <c r="C367">
        <v>132</v>
      </c>
      <c r="D367">
        <v>235</v>
      </c>
      <c r="E367">
        <v>197</v>
      </c>
      <c r="F367" s="1">
        <v>7268</v>
      </c>
      <c r="G367">
        <v>187</v>
      </c>
      <c r="H367">
        <f t="shared" si="26"/>
        <v>0.83829787234042552</v>
      </c>
      <c r="I367">
        <f t="shared" si="27"/>
        <v>2.5729223995597138E-2</v>
      </c>
      <c r="J367">
        <f t="shared" si="28"/>
        <v>-55</v>
      </c>
      <c r="K367" t="str">
        <f t="shared" si="29"/>
        <v>Dec-2026</v>
      </c>
    </row>
    <row r="368" spans="1:11" x14ac:dyDescent="0.3">
      <c r="A368" s="3">
        <v>46378</v>
      </c>
      <c r="B368" s="2" t="str">
        <f t="shared" si="25"/>
        <v>Dec-2026</v>
      </c>
      <c r="C368">
        <v>172</v>
      </c>
      <c r="D368">
        <v>263</v>
      </c>
      <c r="E368">
        <v>191</v>
      </c>
      <c r="F368" s="1">
        <v>7239</v>
      </c>
      <c r="G368">
        <v>202</v>
      </c>
      <c r="H368">
        <f t="shared" si="26"/>
        <v>0.72623574144486691</v>
      </c>
      <c r="I368">
        <f t="shared" si="27"/>
        <v>2.7904406686006356E-2</v>
      </c>
      <c r="J368">
        <f t="shared" si="28"/>
        <v>-30</v>
      </c>
      <c r="K368" t="str">
        <f t="shared" si="29"/>
        <v>Dec-2026</v>
      </c>
    </row>
    <row r="369" spans="1:11" x14ac:dyDescent="0.3">
      <c r="A369" s="3">
        <v>46379</v>
      </c>
      <c r="B369" s="2" t="str">
        <f t="shared" si="25"/>
        <v>Dec-2026</v>
      </c>
      <c r="C369">
        <v>116</v>
      </c>
      <c r="D369">
        <v>175</v>
      </c>
      <c r="E369">
        <v>172</v>
      </c>
      <c r="F369" s="1">
        <v>7239</v>
      </c>
      <c r="G369">
        <v>202</v>
      </c>
      <c r="H369">
        <f t="shared" si="26"/>
        <v>0.98285714285714287</v>
      </c>
      <c r="I369">
        <f t="shared" si="27"/>
        <v>2.7904406686006356E-2</v>
      </c>
      <c r="J369">
        <f t="shared" si="28"/>
        <v>-86</v>
      </c>
      <c r="K369" t="str">
        <f t="shared" si="29"/>
        <v>Dec-2026</v>
      </c>
    </row>
    <row r="370" spans="1:11" x14ac:dyDescent="0.3">
      <c r="A370" s="3">
        <v>46380</v>
      </c>
      <c r="B370" s="2" t="str">
        <f t="shared" si="25"/>
        <v>Dec-2026</v>
      </c>
      <c r="C370">
        <v>102</v>
      </c>
      <c r="D370">
        <v>227</v>
      </c>
      <c r="E370">
        <v>201</v>
      </c>
      <c r="F370" s="1">
        <v>7247</v>
      </c>
      <c r="G370">
        <v>294</v>
      </c>
      <c r="H370">
        <f t="shared" si="26"/>
        <v>0.88546255506607929</v>
      </c>
      <c r="I370">
        <f t="shared" si="27"/>
        <v>4.0568511108044707E-2</v>
      </c>
      <c r="J370">
        <f t="shared" si="28"/>
        <v>-192</v>
      </c>
      <c r="K370" t="str">
        <f t="shared" si="29"/>
        <v>Dec-2026</v>
      </c>
    </row>
    <row r="371" spans="1:11" x14ac:dyDescent="0.3">
      <c r="A371" s="3">
        <v>46381</v>
      </c>
      <c r="B371" s="2" t="str">
        <f t="shared" si="25"/>
        <v>Dec-2026</v>
      </c>
      <c r="C371">
        <v>145</v>
      </c>
      <c r="D371">
        <v>247</v>
      </c>
      <c r="E371">
        <v>243</v>
      </c>
      <c r="F371" s="1">
        <v>7431</v>
      </c>
      <c r="G371">
        <v>235</v>
      </c>
      <c r="H371">
        <f t="shared" si="26"/>
        <v>0.98380566801619429</v>
      </c>
      <c r="I371">
        <f t="shared" si="27"/>
        <v>3.1624276678778089E-2</v>
      </c>
      <c r="J371">
        <f t="shared" si="28"/>
        <v>-90</v>
      </c>
      <c r="K371" t="str">
        <f t="shared" si="29"/>
        <v>Dec-2026</v>
      </c>
    </row>
    <row r="372" spans="1:11" x14ac:dyDescent="0.3">
      <c r="A372" s="3">
        <v>46382</v>
      </c>
      <c r="B372" s="2" t="str">
        <f t="shared" si="25"/>
        <v>Dec-2026</v>
      </c>
      <c r="C372">
        <v>204</v>
      </c>
      <c r="D372">
        <v>321</v>
      </c>
      <c r="E372">
        <v>246</v>
      </c>
      <c r="F372" s="1">
        <v>7433</v>
      </c>
      <c r="G372">
        <v>198</v>
      </c>
      <c r="H372">
        <f t="shared" si="26"/>
        <v>0.76635514018691586</v>
      </c>
      <c r="I372">
        <f t="shared" si="27"/>
        <v>2.6637965828064037E-2</v>
      </c>
      <c r="J372">
        <f t="shared" si="28"/>
        <v>6</v>
      </c>
      <c r="K372" t="str">
        <f t="shared" si="29"/>
        <v>Dec-2026</v>
      </c>
    </row>
    <row r="373" spans="1:11" x14ac:dyDescent="0.3">
      <c r="A373" s="3">
        <v>46383</v>
      </c>
      <c r="B373" s="2" t="str">
        <f t="shared" si="25"/>
        <v>Dec-2026</v>
      </c>
      <c r="C373">
        <v>160</v>
      </c>
      <c r="D373">
        <v>297</v>
      </c>
      <c r="E373">
        <v>253</v>
      </c>
      <c r="F373" s="1">
        <v>7340</v>
      </c>
      <c r="G373">
        <v>214</v>
      </c>
      <c r="H373">
        <f t="shared" si="26"/>
        <v>0.85185185185185186</v>
      </c>
      <c r="I373">
        <f t="shared" si="27"/>
        <v>2.9155313351498638E-2</v>
      </c>
      <c r="J373">
        <f t="shared" si="28"/>
        <v>-54</v>
      </c>
      <c r="K373" t="str">
        <f t="shared" si="29"/>
        <v>Dec-2026</v>
      </c>
    </row>
    <row r="374" spans="1:11" x14ac:dyDescent="0.3">
      <c r="A374" s="3">
        <v>46384</v>
      </c>
      <c r="B374" s="2" t="str">
        <f t="shared" si="25"/>
        <v>Dec-2026</v>
      </c>
      <c r="C374">
        <v>159</v>
      </c>
      <c r="D374">
        <v>310</v>
      </c>
      <c r="E374">
        <v>272</v>
      </c>
      <c r="F374" s="1">
        <v>7318</v>
      </c>
      <c r="G374">
        <v>224</v>
      </c>
      <c r="H374">
        <f t="shared" si="26"/>
        <v>0.8774193548387097</v>
      </c>
      <c r="I374">
        <f t="shared" si="27"/>
        <v>3.0609456135556164E-2</v>
      </c>
      <c r="J374">
        <f t="shared" si="28"/>
        <v>-65</v>
      </c>
      <c r="K374" t="str">
        <f t="shared" si="29"/>
        <v>Dec-2026</v>
      </c>
    </row>
    <row r="375" spans="1:11" x14ac:dyDescent="0.3">
      <c r="A375" s="3">
        <v>46385</v>
      </c>
      <c r="B375" s="2" t="str">
        <f t="shared" si="25"/>
        <v>Dec-2026</v>
      </c>
      <c r="C375">
        <v>204</v>
      </c>
      <c r="D375">
        <v>315</v>
      </c>
      <c r="E375">
        <v>233</v>
      </c>
      <c r="F375" s="1">
        <v>7307</v>
      </c>
      <c r="G375">
        <v>294</v>
      </c>
      <c r="H375">
        <f t="shared" si="26"/>
        <v>0.73968253968253972</v>
      </c>
      <c r="I375">
        <f t="shared" si="27"/>
        <v>4.023539072122622E-2</v>
      </c>
      <c r="J375">
        <f t="shared" si="28"/>
        <v>-90</v>
      </c>
      <c r="K375" t="str">
        <f t="shared" si="29"/>
        <v>Dec-2026</v>
      </c>
    </row>
    <row r="376" spans="1:11" x14ac:dyDescent="0.3">
      <c r="A376" s="3">
        <v>46386</v>
      </c>
      <c r="B376" s="2" t="str">
        <f t="shared" si="25"/>
        <v>Dec-2026</v>
      </c>
      <c r="C376">
        <v>167</v>
      </c>
      <c r="D376">
        <v>293</v>
      </c>
      <c r="E376">
        <v>230</v>
      </c>
      <c r="F376" s="1">
        <v>7544</v>
      </c>
      <c r="G376">
        <v>259</v>
      </c>
      <c r="H376">
        <f t="shared" si="26"/>
        <v>0.78498293515358364</v>
      </c>
      <c r="I376">
        <f t="shared" si="27"/>
        <v>3.4331919406150581E-2</v>
      </c>
      <c r="J376">
        <f t="shared" si="28"/>
        <v>-92</v>
      </c>
      <c r="K376" t="str">
        <f t="shared" si="29"/>
        <v>Dec-2026</v>
      </c>
    </row>
    <row r="377" spans="1:11" x14ac:dyDescent="0.3">
      <c r="A377" s="3">
        <v>46387</v>
      </c>
      <c r="B377" s="2" t="str">
        <f t="shared" si="25"/>
        <v>Dec-2026</v>
      </c>
      <c r="C377">
        <v>152</v>
      </c>
      <c r="D377">
        <v>266</v>
      </c>
      <c r="E377">
        <v>274</v>
      </c>
      <c r="F377" s="1">
        <v>7548</v>
      </c>
      <c r="G377">
        <v>212</v>
      </c>
      <c r="H377">
        <f t="shared" si="26"/>
        <v>1.0300751879699248</v>
      </c>
      <c r="I377">
        <f t="shared" si="27"/>
        <v>2.8086910439851617E-2</v>
      </c>
      <c r="J377">
        <f t="shared" si="28"/>
        <v>-60</v>
      </c>
      <c r="K377" t="str">
        <f t="shared" si="29"/>
        <v>Dec-2026</v>
      </c>
    </row>
    <row r="378" spans="1:11" x14ac:dyDescent="0.3">
      <c r="A378" s="3">
        <v>46388</v>
      </c>
      <c r="B378" s="2" t="str">
        <f t="shared" si="25"/>
        <v>Jan-2027</v>
      </c>
      <c r="C378">
        <v>186</v>
      </c>
      <c r="D378">
        <v>352</v>
      </c>
      <c r="E378">
        <v>224</v>
      </c>
      <c r="F378" s="1">
        <v>7493</v>
      </c>
      <c r="G378">
        <v>156</v>
      </c>
      <c r="H378">
        <f t="shared" si="26"/>
        <v>0.63636363636363635</v>
      </c>
      <c r="I378">
        <f t="shared" si="27"/>
        <v>2.0819431469371413E-2</v>
      </c>
      <c r="J378">
        <f t="shared" si="28"/>
        <v>30</v>
      </c>
      <c r="K378" t="str">
        <f t="shared" si="29"/>
        <v>Jan-2027</v>
      </c>
    </row>
    <row r="379" spans="1:11" x14ac:dyDescent="0.3">
      <c r="A379" s="3">
        <v>46389</v>
      </c>
      <c r="B379" s="2" t="str">
        <f t="shared" si="25"/>
        <v>Jan-2027</v>
      </c>
      <c r="C379">
        <v>184</v>
      </c>
      <c r="D379">
        <v>334</v>
      </c>
      <c r="E379">
        <v>229</v>
      </c>
      <c r="F379" s="1">
        <v>7439</v>
      </c>
      <c r="G379">
        <v>212</v>
      </c>
      <c r="H379">
        <f t="shared" si="26"/>
        <v>0.68562874251497008</v>
      </c>
      <c r="I379">
        <f t="shared" si="27"/>
        <v>2.849845409329211E-2</v>
      </c>
      <c r="J379">
        <f t="shared" si="28"/>
        <v>-28</v>
      </c>
      <c r="K379" t="str">
        <f t="shared" si="29"/>
        <v>Jan-2027</v>
      </c>
    </row>
    <row r="380" spans="1:11" x14ac:dyDescent="0.3">
      <c r="A380" s="3">
        <v>46390</v>
      </c>
      <c r="B380" s="2" t="str">
        <f t="shared" si="25"/>
        <v>Jan-2027</v>
      </c>
      <c r="C380">
        <v>116</v>
      </c>
      <c r="D380">
        <v>289</v>
      </c>
      <c r="E380">
        <v>166</v>
      </c>
      <c r="F380" s="1">
        <v>7451</v>
      </c>
      <c r="G380">
        <v>312</v>
      </c>
      <c r="H380">
        <f t="shared" si="26"/>
        <v>0.5743944636678201</v>
      </c>
      <c r="I380">
        <f t="shared" si="27"/>
        <v>4.1873574016910484E-2</v>
      </c>
      <c r="J380">
        <f t="shared" si="28"/>
        <v>-196</v>
      </c>
      <c r="K380" t="str">
        <f t="shared" si="29"/>
        <v>Jan-2027</v>
      </c>
    </row>
    <row r="381" spans="1:11" x14ac:dyDescent="0.3">
      <c r="A381" s="3">
        <v>46391</v>
      </c>
      <c r="B381" s="2" t="str">
        <f t="shared" si="25"/>
        <v>Jan-2027</v>
      </c>
      <c r="C381">
        <v>179</v>
      </c>
      <c r="D381">
        <v>326</v>
      </c>
      <c r="E381">
        <v>282</v>
      </c>
      <c r="F381" s="1">
        <v>7741</v>
      </c>
      <c r="G381">
        <v>238</v>
      </c>
      <c r="H381">
        <f t="shared" si="26"/>
        <v>0.86503067484662577</v>
      </c>
      <c r="I381">
        <f t="shared" si="27"/>
        <v>3.0745381733626148E-2</v>
      </c>
      <c r="J381">
        <f t="shared" si="28"/>
        <v>-59</v>
      </c>
      <c r="K381" t="str">
        <f t="shared" si="29"/>
        <v>Jan-2027</v>
      </c>
    </row>
    <row r="382" spans="1:11" x14ac:dyDescent="0.3">
      <c r="A382" s="3">
        <v>46392</v>
      </c>
      <c r="B382" s="2" t="str">
        <f t="shared" si="25"/>
        <v>Jan-2027</v>
      </c>
      <c r="C382">
        <v>173</v>
      </c>
      <c r="D382">
        <v>345</v>
      </c>
      <c r="E382">
        <v>291</v>
      </c>
      <c r="F382" s="1">
        <v>7691</v>
      </c>
      <c r="G382">
        <v>198</v>
      </c>
      <c r="H382">
        <f t="shared" si="26"/>
        <v>0.84347826086956523</v>
      </c>
      <c r="I382">
        <f t="shared" si="27"/>
        <v>2.5744376544012484E-2</v>
      </c>
      <c r="J382">
        <f t="shared" si="28"/>
        <v>-25</v>
      </c>
      <c r="K382" t="str">
        <f t="shared" si="29"/>
        <v>Jan-2027</v>
      </c>
    </row>
    <row r="383" spans="1:11" x14ac:dyDescent="0.3">
      <c r="A383" s="3">
        <v>46393</v>
      </c>
      <c r="B383" s="2" t="str">
        <f t="shared" si="25"/>
        <v>Jan-2027</v>
      </c>
      <c r="C383">
        <v>260</v>
      </c>
      <c r="D383">
        <v>356</v>
      </c>
      <c r="E383">
        <v>176</v>
      </c>
      <c r="F383" s="1">
        <v>7565</v>
      </c>
      <c r="G383">
        <v>203</v>
      </c>
      <c r="H383">
        <f t="shared" si="26"/>
        <v>0.4943820224719101</v>
      </c>
      <c r="I383">
        <f t="shared" si="27"/>
        <v>2.683410442828817E-2</v>
      </c>
      <c r="J383">
        <f t="shared" si="28"/>
        <v>57</v>
      </c>
      <c r="K383" t="str">
        <f t="shared" si="29"/>
        <v>Jan-2027</v>
      </c>
    </row>
    <row r="384" spans="1:11" x14ac:dyDescent="0.3">
      <c r="A384" s="3">
        <v>46394</v>
      </c>
      <c r="B384" s="2" t="str">
        <f t="shared" si="25"/>
        <v>Jan-2027</v>
      </c>
      <c r="C384">
        <v>109</v>
      </c>
      <c r="D384">
        <v>244</v>
      </c>
      <c r="E384">
        <v>257</v>
      </c>
      <c r="F384" s="1">
        <v>7596</v>
      </c>
      <c r="G384">
        <v>224</v>
      </c>
      <c r="H384">
        <f t="shared" si="26"/>
        <v>1.0532786885245902</v>
      </c>
      <c r="I384">
        <f t="shared" si="27"/>
        <v>2.948920484465508E-2</v>
      </c>
      <c r="J384">
        <f t="shared" si="28"/>
        <v>-115</v>
      </c>
      <c r="K384" t="str">
        <f t="shared" si="29"/>
        <v>Jan-2027</v>
      </c>
    </row>
    <row r="385" spans="1:11" x14ac:dyDescent="0.3">
      <c r="A385" s="3">
        <v>46395</v>
      </c>
      <c r="B385" s="2" t="str">
        <f t="shared" si="25"/>
        <v>Jan-2027</v>
      </c>
      <c r="C385">
        <v>159</v>
      </c>
      <c r="D385">
        <v>330</v>
      </c>
      <c r="E385">
        <v>322</v>
      </c>
      <c r="F385" s="1">
        <v>7546</v>
      </c>
      <c r="G385">
        <v>306</v>
      </c>
      <c r="H385">
        <f t="shared" si="26"/>
        <v>0.97575757575757571</v>
      </c>
      <c r="I385">
        <f t="shared" si="27"/>
        <v>4.0551285449244634E-2</v>
      </c>
      <c r="J385">
        <f t="shared" si="28"/>
        <v>-147</v>
      </c>
      <c r="K385" t="str">
        <f t="shared" si="29"/>
        <v>Jan-2027</v>
      </c>
    </row>
    <row r="386" spans="1:11" x14ac:dyDescent="0.3">
      <c r="A386" s="3">
        <v>46396</v>
      </c>
      <c r="B386" s="2" t="str">
        <f t="shared" si="25"/>
        <v>Jan-2027</v>
      </c>
      <c r="C386">
        <v>167</v>
      </c>
      <c r="D386">
        <v>406</v>
      </c>
      <c r="E386">
        <v>339</v>
      </c>
      <c r="F386" s="1">
        <v>7563</v>
      </c>
      <c r="G386">
        <v>190</v>
      </c>
      <c r="H386">
        <f t="shared" si="26"/>
        <v>0.83497536945812811</v>
      </c>
      <c r="I386">
        <f t="shared" si="27"/>
        <v>2.5122305963242098E-2</v>
      </c>
      <c r="J386">
        <f t="shared" si="28"/>
        <v>-23</v>
      </c>
      <c r="K386" t="str">
        <f t="shared" si="29"/>
        <v>Jan-2027</v>
      </c>
    </row>
    <row r="387" spans="1:11" x14ac:dyDescent="0.3">
      <c r="A387" s="3">
        <v>46397</v>
      </c>
      <c r="B387" s="2" t="str">
        <f t="shared" ref="B387:B450" si="30">TEXT(A387,"mmm-yyyy")</f>
        <v>Jan-2027</v>
      </c>
      <c r="C387">
        <v>182</v>
      </c>
      <c r="D387">
        <v>462</v>
      </c>
      <c r="E387">
        <v>158</v>
      </c>
      <c r="F387" s="1">
        <v>7491</v>
      </c>
      <c r="G387">
        <v>141</v>
      </c>
      <c r="H387">
        <f t="shared" ref="H387:H450" si="31">E387/D387</f>
        <v>0.34199134199134201</v>
      </c>
      <c r="I387">
        <f t="shared" ref="I387:I450" si="32">G387/F387</f>
        <v>1.8822587104525432E-2</v>
      </c>
      <c r="J387">
        <f t="shared" ref="J387:J450" si="33">C387-G387</f>
        <v>41</v>
      </c>
      <c r="K387" t="str">
        <f t="shared" ref="K387:K450" si="34">TEXT(A387,"mmm-yyyy")</f>
        <v>Jan-2027</v>
      </c>
    </row>
    <row r="388" spans="1:11" x14ac:dyDescent="0.3">
      <c r="A388" s="3">
        <v>46398</v>
      </c>
      <c r="B388" s="2" t="str">
        <f t="shared" si="30"/>
        <v>Jan-2027</v>
      </c>
      <c r="C388">
        <v>153</v>
      </c>
      <c r="D388">
        <v>348</v>
      </c>
      <c r="E388">
        <v>239</v>
      </c>
      <c r="F388" s="1">
        <v>7418</v>
      </c>
      <c r="G388">
        <v>151</v>
      </c>
      <c r="H388">
        <f t="shared" si="31"/>
        <v>0.68678160919540232</v>
      </c>
      <c r="I388">
        <f t="shared" si="32"/>
        <v>2.0355891075761662E-2</v>
      </c>
      <c r="J388">
        <f t="shared" si="33"/>
        <v>2</v>
      </c>
      <c r="K388" t="str">
        <f t="shared" si="34"/>
        <v>Jan-2027</v>
      </c>
    </row>
    <row r="389" spans="1:11" x14ac:dyDescent="0.3">
      <c r="A389" s="3">
        <v>46399</v>
      </c>
      <c r="B389" s="2" t="str">
        <f t="shared" si="30"/>
        <v>Jan-2027</v>
      </c>
      <c r="C389">
        <v>156</v>
      </c>
      <c r="D389">
        <v>344</v>
      </c>
      <c r="E389">
        <v>252</v>
      </c>
      <c r="F389" s="1">
        <v>7365</v>
      </c>
      <c r="G389">
        <v>167</v>
      </c>
      <c r="H389">
        <f t="shared" si="31"/>
        <v>0.73255813953488369</v>
      </c>
      <c r="I389">
        <f t="shared" si="32"/>
        <v>2.267481330617787E-2</v>
      </c>
      <c r="J389">
        <f t="shared" si="33"/>
        <v>-11</v>
      </c>
      <c r="K389" t="str">
        <f t="shared" si="34"/>
        <v>Jan-2027</v>
      </c>
    </row>
    <row r="390" spans="1:11" x14ac:dyDescent="0.3">
      <c r="A390" s="3">
        <v>46400</v>
      </c>
      <c r="B390" s="2" t="str">
        <f t="shared" si="30"/>
        <v>Jan-2027</v>
      </c>
      <c r="C390">
        <v>193</v>
      </c>
      <c r="D390">
        <v>272</v>
      </c>
      <c r="E390">
        <v>314</v>
      </c>
      <c r="F390" s="1">
        <v>7494</v>
      </c>
      <c r="G390">
        <v>227</v>
      </c>
      <c r="H390">
        <f t="shared" si="31"/>
        <v>1.1544117647058822</v>
      </c>
      <c r="I390">
        <f t="shared" si="32"/>
        <v>3.0290899386175608E-2</v>
      </c>
      <c r="J390">
        <f t="shared" si="33"/>
        <v>-34</v>
      </c>
      <c r="K390" t="str">
        <f t="shared" si="34"/>
        <v>Jan-2027</v>
      </c>
    </row>
    <row r="391" spans="1:11" x14ac:dyDescent="0.3">
      <c r="A391" s="3">
        <v>46401</v>
      </c>
      <c r="B391" s="2" t="str">
        <f t="shared" si="30"/>
        <v>Jan-2027</v>
      </c>
      <c r="C391">
        <v>168</v>
      </c>
      <c r="D391">
        <v>349</v>
      </c>
      <c r="E391">
        <v>272</v>
      </c>
      <c r="F391" s="1">
        <v>7474</v>
      </c>
      <c r="G391">
        <v>208</v>
      </c>
      <c r="H391">
        <f t="shared" si="31"/>
        <v>0.77936962750716332</v>
      </c>
      <c r="I391">
        <f t="shared" si="32"/>
        <v>2.7829810008027828E-2</v>
      </c>
      <c r="J391">
        <f t="shared" si="33"/>
        <v>-40</v>
      </c>
      <c r="K391" t="str">
        <f t="shared" si="34"/>
        <v>Jan-2027</v>
      </c>
    </row>
    <row r="392" spans="1:11" x14ac:dyDescent="0.3">
      <c r="A392" s="3">
        <v>46402</v>
      </c>
      <c r="B392" s="2" t="str">
        <f t="shared" si="30"/>
        <v>Jan-2027</v>
      </c>
      <c r="C392">
        <v>196</v>
      </c>
      <c r="D392">
        <v>348</v>
      </c>
      <c r="E392">
        <v>176</v>
      </c>
      <c r="F392" s="1">
        <v>7404</v>
      </c>
      <c r="G392">
        <v>145</v>
      </c>
      <c r="H392">
        <f t="shared" si="31"/>
        <v>0.50574712643678166</v>
      </c>
      <c r="I392">
        <f t="shared" si="32"/>
        <v>1.958400864397623E-2</v>
      </c>
      <c r="J392">
        <f t="shared" si="33"/>
        <v>51</v>
      </c>
      <c r="K392" t="str">
        <f t="shared" si="34"/>
        <v>Jan-2027</v>
      </c>
    </row>
    <row r="393" spans="1:11" x14ac:dyDescent="0.3">
      <c r="A393" s="3">
        <v>46403</v>
      </c>
      <c r="B393" s="2" t="str">
        <f t="shared" si="30"/>
        <v>Jan-2027</v>
      </c>
      <c r="C393">
        <v>111</v>
      </c>
      <c r="D393">
        <v>268</v>
      </c>
      <c r="E393">
        <v>217</v>
      </c>
      <c r="F393" s="1">
        <v>7368</v>
      </c>
      <c r="G393">
        <v>192</v>
      </c>
      <c r="H393">
        <f t="shared" si="31"/>
        <v>0.80970149253731338</v>
      </c>
      <c r="I393">
        <f t="shared" si="32"/>
        <v>2.6058631921824105E-2</v>
      </c>
      <c r="J393">
        <f t="shared" si="33"/>
        <v>-81</v>
      </c>
      <c r="K393" t="str">
        <f t="shared" si="34"/>
        <v>Jan-2027</v>
      </c>
    </row>
    <row r="394" spans="1:11" x14ac:dyDescent="0.3">
      <c r="A394" s="3">
        <v>46404</v>
      </c>
      <c r="B394" s="2" t="str">
        <f t="shared" si="30"/>
        <v>Jan-2027</v>
      </c>
      <c r="C394">
        <v>143</v>
      </c>
      <c r="D394">
        <v>295</v>
      </c>
      <c r="E394">
        <v>278</v>
      </c>
      <c r="F394" s="1">
        <v>7356</v>
      </c>
      <c r="G394">
        <v>298</v>
      </c>
      <c r="H394">
        <f t="shared" si="31"/>
        <v>0.94237288135593222</v>
      </c>
      <c r="I394">
        <f t="shared" si="32"/>
        <v>4.051114736269712E-2</v>
      </c>
      <c r="J394">
        <f t="shared" si="33"/>
        <v>-155</v>
      </c>
      <c r="K394" t="str">
        <f t="shared" si="34"/>
        <v>Jan-2027</v>
      </c>
    </row>
    <row r="395" spans="1:11" x14ac:dyDescent="0.3">
      <c r="A395" s="3">
        <v>46405</v>
      </c>
      <c r="B395" s="2" t="str">
        <f t="shared" si="30"/>
        <v>Jan-2027</v>
      </c>
      <c r="C395">
        <v>206</v>
      </c>
      <c r="D395">
        <v>340</v>
      </c>
      <c r="E395">
        <v>214</v>
      </c>
      <c r="F395" s="1">
        <v>7565</v>
      </c>
      <c r="G395">
        <v>234</v>
      </c>
      <c r="H395">
        <f t="shared" si="31"/>
        <v>0.62941176470588234</v>
      </c>
      <c r="I395">
        <f t="shared" si="32"/>
        <v>3.0931923331130203E-2</v>
      </c>
      <c r="J395">
        <f t="shared" si="33"/>
        <v>-28</v>
      </c>
      <c r="K395" t="str">
        <f t="shared" si="34"/>
        <v>Jan-2027</v>
      </c>
    </row>
    <row r="396" spans="1:11" x14ac:dyDescent="0.3">
      <c r="A396" s="3">
        <v>46406</v>
      </c>
      <c r="B396" s="2" t="str">
        <f t="shared" si="30"/>
        <v>Jan-2027</v>
      </c>
      <c r="C396">
        <v>115</v>
      </c>
      <c r="D396">
        <v>285</v>
      </c>
      <c r="E396">
        <v>341</v>
      </c>
      <c r="F396" s="1">
        <v>7589</v>
      </c>
      <c r="G396">
        <v>265</v>
      </c>
      <c r="H396">
        <f t="shared" si="31"/>
        <v>1.1964912280701754</v>
      </c>
      <c r="I396">
        <f t="shared" si="32"/>
        <v>3.491896165502701E-2</v>
      </c>
      <c r="J396">
        <f t="shared" si="33"/>
        <v>-150</v>
      </c>
      <c r="K396" t="str">
        <f t="shared" si="34"/>
        <v>Jan-2027</v>
      </c>
    </row>
    <row r="397" spans="1:11" x14ac:dyDescent="0.3">
      <c r="A397" s="3">
        <v>46407</v>
      </c>
      <c r="B397" s="2" t="str">
        <f t="shared" si="30"/>
        <v>Jan-2027</v>
      </c>
      <c r="C397">
        <v>246</v>
      </c>
      <c r="D397">
        <v>419</v>
      </c>
      <c r="E397">
        <v>218</v>
      </c>
      <c r="F397" s="1">
        <v>7546</v>
      </c>
      <c r="G397">
        <v>186</v>
      </c>
      <c r="H397">
        <f t="shared" si="31"/>
        <v>0.52028639618138428</v>
      </c>
      <c r="I397">
        <f t="shared" si="32"/>
        <v>2.4648820567187913E-2</v>
      </c>
      <c r="J397">
        <f t="shared" si="33"/>
        <v>60</v>
      </c>
      <c r="K397" t="str">
        <f t="shared" si="34"/>
        <v>Jan-2027</v>
      </c>
    </row>
    <row r="398" spans="1:11" x14ac:dyDescent="0.3">
      <c r="A398" s="3">
        <v>46408</v>
      </c>
      <c r="B398" s="2" t="str">
        <f t="shared" si="30"/>
        <v>Jan-2027</v>
      </c>
      <c r="C398">
        <v>112</v>
      </c>
      <c r="D398">
        <v>331</v>
      </c>
      <c r="E398">
        <v>167</v>
      </c>
      <c r="F398" s="1">
        <v>7499</v>
      </c>
      <c r="G398">
        <v>157</v>
      </c>
      <c r="H398">
        <f t="shared" si="31"/>
        <v>0.50453172205438068</v>
      </c>
      <c r="I398">
        <f t="shared" si="32"/>
        <v>2.093612481664222E-2</v>
      </c>
      <c r="J398">
        <f t="shared" si="33"/>
        <v>-45</v>
      </c>
      <c r="K398" t="str">
        <f t="shared" si="34"/>
        <v>Jan-2027</v>
      </c>
    </row>
    <row r="399" spans="1:11" x14ac:dyDescent="0.3">
      <c r="A399" s="3">
        <v>46409</v>
      </c>
      <c r="B399" s="2" t="str">
        <f t="shared" si="30"/>
        <v>Jan-2027</v>
      </c>
      <c r="C399">
        <v>138</v>
      </c>
      <c r="D399">
        <v>301</v>
      </c>
      <c r="E399">
        <v>263</v>
      </c>
      <c r="F399" s="1">
        <v>7464</v>
      </c>
      <c r="G399">
        <v>245</v>
      </c>
      <c r="H399">
        <f t="shared" si="31"/>
        <v>0.87375415282392022</v>
      </c>
      <c r="I399">
        <f t="shared" si="32"/>
        <v>3.2824222936763132E-2</v>
      </c>
      <c r="J399">
        <f t="shared" si="33"/>
        <v>-107</v>
      </c>
      <c r="K399" t="str">
        <f t="shared" si="34"/>
        <v>Jan-2027</v>
      </c>
    </row>
    <row r="400" spans="1:11" x14ac:dyDescent="0.3">
      <c r="A400" s="3">
        <v>46410</v>
      </c>
      <c r="B400" s="2" t="str">
        <f t="shared" si="30"/>
        <v>Jan-2027</v>
      </c>
      <c r="C400">
        <v>138</v>
      </c>
      <c r="D400">
        <v>285</v>
      </c>
      <c r="E400">
        <v>268</v>
      </c>
      <c r="F400" s="1">
        <v>7570</v>
      </c>
      <c r="G400">
        <v>244</v>
      </c>
      <c r="H400">
        <f t="shared" si="31"/>
        <v>0.94035087719298249</v>
      </c>
      <c r="I400">
        <f t="shared" si="32"/>
        <v>3.2232496697490093E-2</v>
      </c>
      <c r="J400">
        <f t="shared" si="33"/>
        <v>-106</v>
      </c>
      <c r="K400" t="str">
        <f t="shared" si="34"/>
        <v>Jan-2027</v>
      </c>
    </row>
    <row r="401" spans="1:11" x14ac:dyDescent="0.3">
      <c r="A401" s="3">
        <v>46411</v>
      </c>
      <c r="B401" s="2" t="str">
        <f t="shared" si="30"/>
        <v>Jan-2027</v>
      </c>
      <c r="C401">
        <v>167</v>
      </c>
      <c r="D401">
        <v>374</v>
      </c>
      <c r="E401">
        <v>205</v>
      </c>
      <c r="F401" s="1">
        <v>7583</v>
      </c>
      <c r="G401">
        <v>202</v>
      </c>
      <c r="H401">
        <f t="shared" si="31"/>
        <v>0.54812834224598928</v>
      </c>
      <c r="I401">
        <f t="shared" si="32"/>
        <v>2.6638533561914809E-2</v>
      </c>
      <c r="J401">
        <f t="shared" si="33"/>
        <v>-35</v>
      </c>
      <c r="K401" t="str">
        <f t="shared" si="34"/>
        <v>Jan-2027</v>
      </c>
    </row>
    <row r="402" spans="1:11" x14ac:dyDescent="0.3">
      <c r="A402" s="3">
        <v>46412</v>
      </c>
      <c r="B402" s="2" t="str">
        <f t="shared" si="30"/>
        <v>Jan-2027</v>
      </c>
      <c r="C402">
        <v>176</v>
      </c>
      <c r="D402">
        <v>334</v>
      </c>
      <c r="E402">
        <v>246</v>
      </c>
      <c r="F402" s="1">
        <v>7566</v>
      </c>
      <c r="G402">
        <v>163</v>
      </c>
      <c r="H402">
        <f t="shared" si="31"/>
        <v>0.73652694610778446</v>
      </c>
      <c r="I402">
        <f t="shared" si="32"/>
        <v>2.1543748347872059E-2</v>
      </c>
      <c r="J402">
        <f t="shared" si="33"/>
        <v>13</v>
      </c>
      <c r="K402" t="str">
        <f t="shared" si="34"/>
        <v>Jan-2027</v>
      </c>
    </row>
    <row r="403" spans="1:11" x14ac:dyDescent="0.3">
      <c r="A403" s="3">
        <v>46413</v>
      </c>
      <c r="B403" s="2" t="str">
        <f t="shared" si="30"/>
        <v>Jan-2027</v>
      </c>
      <c r="C403">
        <v>173</v>
      </c>
      <c r="D403">
        <v>337</v>
      </c>
      <c r="E403">
        <v>211</v>
      </c>
      <c r="F403" s="1">
        <v>7449</v>
      </c>
      <c r="G403">
        <v>205</v>
      </c>
      <c r="H403">
        <f t="shared" si="31"/>
        <v>0.62611275964391688</v>
      </c>
      <c r="I403">
        <f t="shared" si="32"/>
        <v>2.7520472546650559E-2</v>
      </c>
      <c r="J403">
        <f t="shared" si="33"/>
        <v>-32</v>
      </c>
      <c r="K403" t="str">
        <f t="shared" si="34"/>
        <v>Jan-2027</v>
      </c>
    </row>
    <row r="404" spans="1:11" x14ac:dyDescent="0.3">
      <c r="A404" s="3">
        <v>46414</v>
      </c>
      <c r="B404" s="2" t="str">
        <f t="shared" si="30"/>
        <v>Jan-2027</v>
      </c>
      <c r="C404">
        <v>150</v>
      </c>
      <c r="D404">
        <v>315</v>
      </c>
      <c r="E404">
        <v>228</v>
      </c>
      <c r="F404" s="1">
        <v>7447</v>
      </c>
      <c r="G404">
        <v>332</v>
      </c>
      <c r="H404">
        <f t="shared" si="31"/>
        <v>0.72380952380952379</v>
      </c>
      <c r="I404">
        <f t="shared" si="32"/>
        <v>4.4581710756009134E-2</v>
      </c>
      <c r="J404">
        <f t="shared" si="33"/>
        <v>-182</v>
      </c>
      <c r="K404" t="str">
        <f t="shared" si="34"/>
        <v>Jan-2027</v>
      </c>
    </row>
    <row r="405" spans="1:11" x14ac:dyDescent="0.3">
      <c r="A405" s="3">
        <v>46415</v>
      </c>
      <c r="B405" s="2" t="str">
        <f t="shared" si="30"/>
        <v>Jan-2027</v>
      </c>
      <c r="C405">
        <v>206</v>
      </c>
      <c r="D405">
        <v>411</v>
      </c>
      <c r="E405">
        <v>293</v>
      </c>
      <c r="F405" s="1">
        <v>7577</v>
      </c>
      <c r="G405">
        <v>194</v>
      </c>
      <c r="H405">
        <f t="shared" si="31"/>
        <v>0.71289537712895379</v>
      </c>
      <c r="I405">
        <f t="shared" si="32"/>
        <v>2.5603800976639831E-2</v>
      </c>
      <c r="J405">
        <f t="shared" si="33"/>
        <v>12</v>
      </c>
      <c r="K405" t="str">
        <f t="shared" si="34"/>
        <v>Jan-2027</v>
      </c>
    </row>
    <row r="406" spans="1:11" x14ac:dyDescent="0.3">
      <c r="A406" s="3">
        <v>46416</v>
      </c>
      <c r="B406" s="2" t="str">
        <f t="shared" si="30"/>
        <v>Jan-2027</v>
      </c>
      <c r="C406">
        <v>197</v>
      </c>
      <c r="D406">
        <v>437</v>
      </c>
      <c r="E406">
        <v>295</v>
      </c>
      <c r="F406" s="1">
        <v>7508</v>
      </c>
      <c r="G406">
        <v>190</v>
      </c>
      <c r="H406">
        <f t="shared" si="31"/>
        <v>0.67505720823798632</v>
      </c>
      <c r="I406">
        <f t="shared" si="32"/>
        <v>2.530633990410229E-2</v>
      </c>
      <c r="J406">
        <f t="shared" si="33"/>
        <v>7</v>
      </c>
      <c r="K406" t="str">
        <f t="shared" si="34"/>
        <v>Jan-2027</v>
      </c>
    </row>
    <row r="407" spans="1:11" x14ac:dyDescent="0.3">
      <c r="A407" s="3">
        <v>46417</v>
      </c>
      <c r="B407" s="2" t="str">
        <f t="shared" si="30"/>
        <v>Jan-2027</v>
      </c>
      <c r="C407">
        <v>220</v>
      </c>
      <c r="D407">
        <v>443</v>
      </c>
      <c r="E407">
        <v>194</v>
      </c>
      <c r="F407" s="1">
        <v>7431</v>
      </c>
      <c r="G407">
        <v>135</v>
      </c>
      <c r="H407">
        <f t="shared" si="31"/>
        <v>0.43792325056433407</v>
      </c>
      <c r="I407">
        <f t="shared" si="32"/>
        <v>1.8167137666532097E-2</v>
      </c>
      <c r="J407">
        <f t="shared" si="33"/>
        <v>85</v>
      </c>
      <c r="K407" t="str">
        <f t="shared" si="34"/>
        <v>Jan-2027</v>
      </c>
    </row>
    <row r="408" spans="1:11" x14ac:dyDescent="0.3">
      <c r="A408" s="3">
        <v>46418</v>
      </c>
      <c r="B408" s="2" t="str">
        <f t="shared" si="30"/>
        <v>Jan-2027</v>
      </c>
      <c r="C408">
        <v>140</v>
      </c>
      <c r="D408">
        <v>292</v>
      </c>
      <c r="E408">
        <v>255</v>
      </c>
      <c r="F408" s="1">
        <v>7373</v>
      </c>
      <c r="G408">
        <v>187</v>
      </c>
      <c r="H408">
        <f t="shared" si="31"/>
        <v>0.87328767123287676</v>
      </c>
      <c r="I408">
        <f t="shared" si="32"/>
        <v>2.5362810253628104E-2</v>
      </c>
      <c r="J408">
        <f t="shared" si="33"/>
        <v>-47</v>
      </c>
      <c r="K408" t="str">
        <f t="shared" si="34"/>
        <v>Jan-2027</v>
      </c>
    </row>
    <row r="409" spans="1:11" x14ac:dyDescent="0.3">
      <c r="A409" s="3">
        <v>46419</v>
      </c>
      <c r="B409" s="2" t="str">
        <f t="shared" si="30"/>
        <v>Feb-2027</v>
      </c>
      <c r="C409">
        <v>158</v>
      </c>
      <c r="D409">
        <v>349</v>
      </c>
      <c r="E409">
        <v>365</v>
      </c>
      <c r="F409" s="1">
        <v>7298</v>
      </c>
      <c r="G409">
        <v>250</v>
      </c>
      <c r="H409">
        <f t="shared" si="31"/>
        <v>1.0458452722063036</v>
      </c>
      <c r="I409">
        <f t="shared" si="32"/>
        <v>3.4255960537133465E-2</v>
      </c>
      <c r="J409">
        <f t="shared" si="33"/>
        <v>-92</v>
      </c>
      <c r="K409" t="str">
        <f t="shared" si="34"/>
        <v>Feb-2027</v>
      </c>
    </row>
    <row r="410" spans="1:11" x14ac:dyDescent="0.3">
      <c r="A410" s="3">
        <v>46420</v>
      </c>
      <c r="B410" s="2" t="str">
        <f t="shared" si="30"/>
        <v>Feb-2027</v>
      </c>
      <c r="C410">
        <v>145</v>
      </c>
      <c r="D410">
        <v>357</v>
      </c>
      <c r="E410">
        <v>333</v>
      </c>
      <c r="F410" s="1">
        <v>7209</v>
      </c>
      <c r="G410">
        <v>217</v>
      </c>
      <c r="H410">
        <f t="shared" si="31"/>
        <v>0.9327731092436975</v>
      </c>
      <c r="I410">
        <f t="shared" si="32"/>
        <v>3.0101262311000139E-2</v>
      </c>
      <c r="J410">
        <f t="shared" si="33"/>
        <v>-72</v>
      </c>
      <c r="K410" t="str">
        <f t="shared" si="34"/>
        <v>Feb-2027</v>
      </c>
    </row>
    <row r="411" spans="1:11" x14ac:dyDescent="0.3">
      <c r="A411" s="3">
        <v>46421</v>
      </c>
      <c r="B411" s="2" t="str">
        <f t="shared" si="30"/>
        <v>Feb-2027</v>
      </c>
      <c r="C411">
        <v>253</v>
      </c>
      <c r="D411">
        <v>411</v>
      </c>
      <c r="E411">
        <v>307</v>
      </c>
      <c r="F411" s="1">
        <v>7128</v>
      </c>
      <c r="G411">
        <v>154</v>
      </c>
      <c r="H411">
        <f t="shared" si="31"/>
        <v>0.74695863746958635</v>
      </c>
      <c r="I411">
        <f t="shared" si="32"/>
        <v>2.1604938271604937E-2</v>
      </c>
      <c r="J411">
        <f t="shared" si="33"/>
        <v>99</v>
      </c>
      <c r="K411" t="str">
        <f t="shared" si="34"/>
        <v>Feb-2027</v>
      </c>
    </row>
    <row r="412" spans="1:11" x14ac:dyDescent="0.3">
      <c r="A412" s="3">
        <v>46422</v>
      </c>
      <c r="B412" s="2" t="str">
        <f t="shared" si="30"/>
        <v>Feb-2027</v>
      </c>
      <c r="C412">
        <v>252</v>
      </c>
      <c r="D412">
        <v>427</v>
      </c>
      <c r="E412">
        <v>307</v>
      </c>
      <c r="F412" s="1">
        <v>6967</v>
      </c>
      <c r="G412">
        <v>134</v>
      </c>
      <c r="H412">
        <f t="shared" si="31"/>
        <v>0.71896955503512883</v>
      </c>
      <c r="I412">
        <f t="shared" si="32"/>
        <v>1.9233529496196354E-2</v>
      </c>
      <c r="J412">
        <f t="shared" si="33"/>
        <v>118</v>
      </c>
      <c r="K412" t="str">
        <f t="shared" si="34"/>
        <v>Feb-2027</v>
      </c>
    </row>
    <row r="413" spans="1:11" x14ac:dyDescent="0.3">
      <c r="A413" s="3">
        <v>46423</v>
      </c>
      <c r="B413" s="2" t="str">
        <f t="shared" si="30"/>
        <v>Feb-2027</v>
      </c>
      <c r="C413">
        <v>176</v>
      </c>
      <c r="D413">
        <v>424</v>
      </c>
      <c r="E413">
        <v>251</v>
      </c>
      <c r="F413" s="1">
        <v>6799</v>
      </c>
      <c r="G413">
        <v>214</v>
      </c>
      <c r="H413">
        <f t="shared" si="31"/>
        <v>0.59198113207547165</v>
      </c>
      <c r="I413">
        <f t="shared" si="32"/>
        <v>3.1475216943668186E-2</v>
      </c>
      <c r="J413">
        <f t="shared" si="33"/>
        <v>-38</v>
      </c>
      <c r="K413" t="str">
        <f t="shared" si="34"/>
        <v>Feb-2027</v>
      </c>
    </row>
    <row r="414" spans="1:11" x14ac:dyDescent="0.3">
      <c r="A414" s="3">
        <v>46424</v>
      </c>
      <c r="B414" s="2" t="str">
        <f t="shared" si="30"/>
        <v>Feb-2027</v>
      </c>
      <c r="C414">
        <v>208</v>
      </c>
      <c r="D414">
        <v>380</v>
      </c>
      <c r="E414">
        <v>343</v>
      </c>
      <c r="F414" s="1">
        <v>6745</v>
      </c>
      <c r="G414">
        <v>240</v>
      </c>
      <c r="H414">
        <f t="shared" si="31"/>
        <v>0.90263157894736845</v>
      </c>
      <c r="I414">
        <f t="shared" si="32"/>
        <v>3.5581912527798368E-2</v>
      </c>
      <c r="J414">
        <f t="shared" si="33"/>
        <v>-32</v>
      </c>
      <c r="K414" t="str">
        <f t="shared" si="34"/>
        <v>Feb-2027</v>
      </c>
    </row>
    <row r="415" spans="1:11" x14ac:dyDescent="0.3">
      <c r="A415" s="3">
        <v>46425</v>
      </c>
      <c r="B415" s="2" t="str">
        <f t="shared" si="30"/>
        <v>Feb-2027</v>
      </c>
      <c r="C415">
        <v>144</v>
      </c>
      <c r="D415">
        <v>322</v>
      </c>
      <c r="E415">
        <v>258</v>
      </c>
      <c r="F415" s="1">
        <v>6728</v>
      </c>
      <c r="G415">
        <v>260</v>
      </c>
      <c r="H415">
        <f t="shared" si="31"/>
        <v>0.80124223602484468</v>
      </c>
      <c r="I415">
        <f t="shared" si="32"/>
        <v>3.8644470868014272E-2</v>
      </c>
      <c r="J415">
        <f t="shared" si="33"/>
        <v>-116</v>
      </c>
      <c r="K415" t="str">
        <f t="shared" si="34"/>
        <v>Feb-2027</v>
      </c>
    </row>
    <row r="416" spans="1:11" x14ac:dyDescent="0.3">
      <c r="A416" s="3">
        <v>46426</v>
      </c>
      <c r="B416" s="2" t="str">
        <f t="shared" si="30"/>
        <v>Feb-2027</v>
      </c>
      <c r="C416">
        <v>182</v>
      </c>
      <c r="D416">
        <v>371</v>
      </c>
      <c r="E416">
        <v>274</v>
      </c>
      <c r="F416" s="1">
        <v>6725</v>
      </c>
      <c r="G416">
        <v>227</v>
      </c>
      <c r="H416">
        <f t="shared" si="31"/>
        <v>0.73854447439353099</v>
      </c>
      <c r="I416">
        <f t="shared" si="32"/>
        <v>3.37546468401487E-2</v>
      </c>
      <c r="J416">
        <f t="shared" si="33"/>
        <v>-45</v>
      </c>
      <c r="K416" t="str">
        <f t="shared" si="34"/>
        <v>Feb-2027</v>
      </c>
    </row>
    <row r="417" spans="1:11" x14ac:dyDescent="0.3">
      <c r="A417" s="3">
        <v>46427</v>
      </c>
      <c r="B417" s="2" t="str">
        <f t="shared" si="30"/>
        <v>Feb-2027</v>
      </c>
      <c r="C417">
        <v>219</v>
      </c>
      <c r="D417">
        <v>392</v>
      </c>
      <c r="E417">
        <v>205</v>
      </c>
      <c r="F417" s="1">
        <v>6685</v>
      </c>
      <c r="G417">
        <v>163</v>
      </c>
      <c r="H417">
        <f t="shared" si="31"/>
        <v>0.52295918367346939</v>
      </c>
      <c r="I417">
        <f t="shared" si="32"/>
        <v>2.4382946896035901E-2</v>
      </c>
      <c r="J417">
        <f t="shared" si="33"/>
        <v>56</v>
      </c>
      <c r="K417" t="str">
        <f t="shared" si="34"/>
        <v>Feb-2027</v>
      </c>
    </row>
    <row r="418" spans="1:11" x14ac:dyDescent="0.3">
      <c r="A418" s="3">
        <v>46428</v>
      </c>
      <c r="B418" s="2" t="str">
        <f t="shared" si="30"/>
        <v>Feb-2027</v>
      </c>
      <c r="C418">
        <v>144</v>
      </c>
      <c r="D418">
        <v>303</v>
      </c>
      <c r="E418">
        <v>176</v>
      </c>
      <c r="F418" s="1">
        <v>6681</v>
      </c>
      <c r="G418">
        <v>191</v>
      </c>
      <c r="H418">
        <f t="shared" si="31"/>
        <v>0.58085808580858089</v>
      </c>
      <c r="I418">
        <f t="shared" si="32"/>
        <v>2.8588534650501422E-2</v>
      </c>
      <c r="J418">
        <f t="shared" si="33"/>
        <v>-47</v>
      </c>
      <c r="K418" t="str">
        <f t="shared" si="34"/>
        <v>Feb-2027</v>
      </c>
    </row>
    <row r="419" spans="1:11" x14ac:dyDescent="0.3">
      <c r="A419" s="3">
        <v>46429</v>
      </c>
      <c r="B419" s="2" t="str">
        <f t="shared" si="30"/>
        <v>Feb-2027</v>
      </c>
      <c r="C419">
        <v>128</v>
      </c>
      <c r="D419">
        <v>245</v>
      </c>
      <c r="E419">
        <v>243</v>
      </c>
      <c r="F419" s="1">
        <v>6630</v>
      </c>
      <c r="G419">
        <v>290</v>
      </c>
      <c r="H419">
        <f t="shared" si="31"/>
        <v>0.99183673469387756</v>
      </c>
      <c r="I419">
        <f t="shared" si="32"/>
        <v>4.3740573152337855E-2</v>
      </c>
      <c r="J419">
        <f t="shared" si="33"/>
        <v>-162</v>
      </c>
      <c r="K419" t="str">
        <f t="shared" si="34"/>
        <v>Feb-2027</v>
      </c>
    </row>
    <row r="420" spans="1:11" x14ac:dyDescent="0.3">
      <c r="A420" s="3">
        <v>46430</v>
      </c>
      <c r="B420" s="2" t="str">
        <f t="shared" si="30"/>
        <v>Feb-2027</v>
      </c>
      <c r="C420">
        <v>183</v>
      </c>
      <c r="D420">
        <v>221</v>
      </c>
      <c r="E420">
        <v>220</v>
      </c>
      <c r="F420" s="1">
        <v>6912</v>
      </c>
      <c r="G420">
        <v>285</v>
      </c>
      <c r="H420">
        <f t="shared" si="31"/>
        <v>0.99547511312217196</v>
      </c>
      <c r="I420">
        <f t="shared" si="32"/>
        <v>4.1232638888888888E-2</v>
      </c>
      <c r="J420">
        <f t="shared" si="33"/>
        <v>-102</v>
      </c>
      <c r="K420" t="str">
        <f t="shared" si="34"/>
        <v>Feb-2027</v>
      </c>
    </row>
    <row r="421" spans="1:11" x14ac:dyDescent="0.3">
      <c r="A421" s="3">
        <v>46431</v>
      </c>
      <c r="B421" s="2" t="str">
        <f t="shared" si="30"/>
        <v>Feb-2027</v>
      </c>
      <c r="C421">
        <v>117</v>
      </c>
      <c r="D421">
        <v>244</v>
      </c>
      <c r="E421">
        <v>142</v>
      </c>
      <c r="F421" s="1">
        <v>6999</v>
      </c>
      <c r="G421">
        <v>227</v>
      </c>
      <c r="H421">
        <f t="shared" si="31"/>
        <v>0.58196721311475408</v>
      </c>
      <c r="I421">
        <f t="shared" si="32"/>
        <v>3.2433204743534789E-2</v>
      </c>
      <c r="J421">
        <f t="shared" si="33"/>
        <v>-110</v>
      </c>
      <c r="K421" t="str">
        <f t="shared" si="34"/>
        <v>Feb-2027</v>
      </c>
    </row>
    <row r="422" spans="1:11" x14ac:dyDescent="0.3">
      <c r="A422" s="3">
        <v>46432</v>
      </c>
      <c r="B422" s="2" t="str">
        <f t="shared" si="30"/>
        <v>Feb-2027</v>
      </c>
      <c r="C422">
        <v>118</v>
      </c>
      <c r="D422">
        <v>231</v>
      </c>
      <c r="E422">
        <v>217</v>
      </c>
      <c r="F422" s="1">
        <v>7043</v>
      </c>
      <c r="G422">
        <v>130</v>
      </c>
      <c r="H422">
        <f t="shared" si="31"/>
        <v>0.93939393939393945</v>
      </c>
      <c r="I422">
        <f t="shared" si="32"/>
        <v>1.8458043447394577E-2</v>
      </c>
      <c r="J422">
        <f t="shared" si="33"/>
        <v>-12</v>
      </c>
      <c r="K422" t="str">
        <f t="shared" si="34"/>
        <v>Feb-2027</v>
      </c>
    </row>
    <row r="423" spans="1:11" x14ac:dyDescent="0.3">
      <c r="A423" s="3">
        <v>46433</v>
      </c>
      <c r="B423" s="2" t="str">
        <f t="shared" si="30"/>
        <v>Feb-2027</v>
      </c>
      <c r="C423">
        <v>102</v>
      </c>
      <c r="D423">
        <v>230</v>
      </c>
      <c r="E423">
        <v>167</v>
      </c>
      <c r="F423" s="1">
        <v>6988</v>
      </c>
      <c r="G423">
        <v>199</v>
      </c>
      <c r="H423">
        <f t="shared" si="31"/>
        <v>0.72608695652173916</v>
      </c>
      <c r="I423">
        <f t="shared" si="32"/>
        <v>2.8477389811104752E-2</v>
      </c>
      <c r="J423">
        <f t="shared" si="33"/>
        <v>-97</v>
      </c>
      <c r="K423" t="str">
        <f t="shared" si="34"/>
        <v>Feb-2027</v>
      </c>
    </row>
    <row r="424" spans="1:11" x14ac:dyDescent="0.3">
      <c r="A424" s="3">
        <v>46434</v>
      </c>
      <c r="B424" s="2" t="str">
        <f t="shared" si="30"/>
        <v>Feb-2027</v>
      </c>
      <c r="C424">
        <v>106</v>
      </c>
      <c r="D424">
        <v>239</v>
      </c>
      <c r="E424">
        <v>233</v>
      </c>
      <c r="F424" s="1">
        <v>6982</v>
      </c>
      <c r="G424">
        <v>279</v>
      </c>
      <c r="H424">
        <f t="shared" si="31"/>
        <v>0.97489539748953979</v>
      </c>
      <c r="I424">
        <f t="shared" si="32"/>
        <v>3.9959896877685475E-2</v>
      </c>
      <c r="J424">
        <f t="shared" si="33"/>
        <v>-173</v>
      </c>
      <c r="K424" t="str">
        <f t="shared" si="34"/>
        <v>Feb-2027</v>
      </c>
    </row>
    <row r="425" spans="1:11" x14ac:dyDescent="0.3">
      <c r="A425" s="3">
        <v>46435</v>
      </c>
      <c r="B425" s="2" t="str">
        <f t="shared" si="30"/>
        <v>Feb-2027</v>
      </c>
      <c r="C425">
        <v>95</v>
      </c>
      <c r="D425">
        <v>226</v>
      </c>
      <c r="E425">
        <v>152</v>
      </c>
      <c r="F425" s="1">
        <v>7317</v>
      </c>
      <c r="G425">
        <v>225</v>
      </c>
      <c r="H425">
        <f t="shared" si="31"/>
        <v>0.67256637168141598</v>
      </c>
      <c r="I425">
        <f t="shared" si="32"/>
        <v>3.0750307503075031E-2</v>
      </c>
      <c r="J425">
        <f t="shared" si="33"/>
        <v>-130</v>
      </c>
      <c r="K425" t="str">
        <f t="shared" si="34"/>
        <v>Feb-2027</v>
      </c>
    </row>
    <row r="426" spans="1:11" x14ac:dyDescent="0.3">
      <c r="A426" s="3">
        <v>46436</v>
      </c>
      <c r="B426" s="2" t="str">
        <f t="shared" si="30"/>
        <v>Feb-2027</v>
      </c>
      <c r="C426">
        <v>124</v>
      </c>
      <c r="D426">
        <v>230</v>
      </c>
      <c r="E426">
        <v>190</v>
      </c>
      <c r="F426" s="1">
        <v>7346</v>
      </c>
      <c r="G426">
        <v>163</v>
      </c>
      <c r="H426">
        <f t="shared" si="31"/>
        <v>0.82608695652173914</v>
      </c>
      <c r="I426">
        <f t="shared" si="32"/>
        <v>2.218894636536891E-2</v>
      </c>
      <c r="J426">
        <f t="shared" si="33"/>
        <v>-39</v>
      </c>
      <c r="K426" t="str">
        <f t="shared" si="34"/>
        <v>Feb-2027</v>
      </c>
    </row>
    <row r="427" spans="1:11" x14ac:dyDescent="0.3">
      <c r="A427" s="3">
        <v>46437</v>
      </c>
      <c r="B427" s="2" t="str">
        <f t="shared" si="30"/>
        <v>Feb-2027</v>
      </c>
      <c r="C427">
        <v>101</v>
      </c>
      <c r="D427">
        <v>230</v>
      </c>
      <c r="E427">
        <v>175</v>
      </c>
      <c r="F427" s="1">
        <v>7340</v>
      </c>
      <c r="G427">
        <v>132</v>
      </c>
      <c r="H427">
        <f t="shared" si="31"/>
        <v>0.76086956521739135</v>
      </c>
      <c r="I427">
        <f t="shared" si="32"/>
        <v>1.7983651226158037E-2</v>
      </c>
      <c r="J427">
        <f t="shared" si="33"/>
        <v>-31</v>
      </c>
      <c r="K427" t="str">
        <f t="shared" si="34"/>
        <v>Feb-2027</v>
      </c>
    </row>
    <row r="428" spans="1:11" x14ac:dyDescent="0.3">
      <c r="A428" s="3">
        <v>46438</v>
      </c>
      <c r="B428" s="2" t="str">
        <f t="shared" si="30"/>
        <v>Feb-2027</v>
      </c>
      <c r="C428">
        <v>109</v>
      </c>
      <c r="D428">
        <v>235</v>
      </c>
      <c r="E428">
        <v>171</v>
      </c>
      <c r="F428" s="1">
        <v>7271</v>
      </c>
      <c r="G428">
        <v>172</v>
      </c>
      <c r="H428">
        <f t="shared" si="31"/>
        <v>0.72765957446808516</v>
      </c>
      <c r="I428">
        <f t="shared" si="32"/>
        <v>2.3655618209324714E-2</v>
      </c>
      <c r="J428">
        <f t="shared" si="33"/>
        <v>-63</v>
      </c>
      <c r="K428" t="str">
        <f t="shared" si="34"/>
        <v>Feb-2027</v>
      </c>
    </row>
    <row r="429" spans="1:11" x14ac:dyDescent="0.3">
      <c r="A429" s="3">
        <v>46439</v>
      </c>
      <c r="B429" s="2" t="str">
        <f t="shared" si="30"/>
        <v>Feb-2027</v>
      </c>
      <c r="C429">
        <v>105</v>
      </c>
      <c r="D429">
        <v>254</v>
      </c>
      <c r="E429">
        <v>151</v>
      </c>
      <c r="F429" s="1">
        <v>7257</v>
      </c>
      <c r="G429">
        <v>287</v>
      </c>
      <c r="H429">
        <f t="shared" si="31"/>
        <v>0.59448818897637801</v>
      </c>
      <c r="I429">
        <f t="shared" si="32"/>
        <v>3.954802259887006E-2</v>
      </c>
      <c r="J429">
        <f t="shared" si="33"/>
        <v>-182</v>
      </c>
      <c r="K429" t="str">
        <f t="shared" si="34"/>
        <v>Feb-2027</v>
      </c>
    </row>
    <row r="430" spans="1:11" x14ac:dyDescent="0.3">
      <c r="A430" s="3">
        <v>46440</v>
      </c>
      <c r="B430" s="2" t="str">
        <f t="shared" si="30"/>
        <v>Feb-2027</v>
      </c>
      <c r="C430">
        <v>161</v>
      </c>
      <c r="D430">
        <v>288</v>
      </c>
      <c r="E430">
        <v>248</v>
      </c>
      <c r="F430" s="1">
        <v>7762</v>
      </c>
      <c r="G430">
        <v>360</v>
      </c>
      <c r="H430">
        <f t="shared" si="31"/>
        <v>0.86111111111111116</v>
      </c>
      <c r="I430">
        <f t="shared" si="32"/>
        <v>4.6379799020870908E-2</v>
      </c>
      <c r="J430">
        <f t="shared" si="33"/>
        <v>-199</v>
      </c>
      <c r="K430" t="str">
        <f t="shared" si="34"/>
        <v>Feb-2027</v>
      </c>
    </row>
    <row r="431" spans="1:11" x14ac:dyDescent="0.3">
      <c r="A431" s="3">
        <v>46441</v>
      </c>
      <c r="B431" s="2" t="str">
        <f t="shared" si="30"/>
        <v>Feb-2027</v>
      </c>
      <c r="C431">
        <v>129</v>
      </c>
      <c r="D431">
        <v>287</v>
      </c>
      <c r="E431">
        <v>185</v>
      </c>
      <c r="F431" s="1">
        <v>7893</v>
      </c>
      <c r="G431">
        <v>215</v>
      </c>
      <c r="H431">
        <f t="shared" si="31"/>
        <v>0.64459930313588854</v>
      </c>
      <c r="I431">
        <f t="shared" si="32"/>
        <v>2.7239325985050043E-2</v>
      </c>
      <c r="J431">
        <f t="shared" si="33"/>
        <v>-86</v>
      </c>
      <c r="K431" t="str">
        <f t="shared" si="34"/>
        <v>Feb-2027</v>
      </c>
    </row>
    <row r="432" spans="1:11" x14ac:dyDescent="0.3">
      <c r="A432" s="3">
        <v>46442</v>
      </c>
      <c r="B432" s="2" t="str">
        <f t="shared" si="30"/>
        <v>Feb-2027</v>
      </c>
      <c r="C432">
        <v>187</v>
      </c>
      <c r="D432">
        <v>276</v>
      </c>
      <c r="E432">
        <v>200</v>
      </c>
      <c r="F432" s="1">
        <v>7919</v>
      </c>
      <c r="G432">
        <v>208</v>
      </c>
      <c r="H432">
        <f t="shared" si="31"/>
        <v>0.72463768115942029</v>
      </c>
      <c r="I432">
        <f t="shared" si="32"/>
        <v>2.6265942669528981E-2</v>
      </c>
      <c r="J432">
        <f t="shared" si="33"/>
        <v>-21</v>
      </c>
      <c r="K432" t="str">
        <f t="shared" si="34"/>
        <v>Feb-2027</v>
      </c>
    </row>
    <row r="433" spans="1:11" x14ac:dyDescent="0.3">
      <c r="A433" s="3">
        <v>46443</v>
      </c>
      <c r="B433" s="2" t="str">
        <f t="shared" si="30"/>
        <v>Feb-2027</v>
      </c>
      <c r="C433">
        <v>128</v>
      </c>
      <c r="D433">
        <v>242</v>
      </c>
      <c r="E433">
        <v>224</v>
      </c>
      <c r="F433" s="1">
        <v>7899</v>
      </c>
      <c r="G433">
        <v>229</v>
      </c>
      <c r="H433">
        <f t="shared" si="31"/>
        <v>0.92561983471074383</v>
      </c>
      <c r="I433">
        <f t="shared" si="32"/>
        <v>2.8991011520445625E-2</v>
      </c>
      <c r="J433">
        <f t="shared" si="33"/>
        <v>-101</v>
      </c>
      <c r="K433" t="str">
        <f t="shared" si="34"/>
        <v>Feb-2027</v>
      </c>
    </row>
    <row r="434" spans="1:11" x14ac:dyDescent="0.3">
      <c r="A434" s="3">
        <v>46444</v>
      </c>
      <c r="B434" s="2" t="str">
        <f t="shared" si="30"/>
        <v>Feb-2027</v>
      </c>
      <c r="C434">
        <v>124</v>
      </c>
      <c r="D434">
        <v>264</v>
      </c>
      <c r="E434">
        <v>221</v>
      </c>
      <c r="F434" s="1">
        <v>7899</v>
      </c>
      <c r="G434">
        <v>373</v>
      </c>
      <c r="H434">
        <f t="shared" si="31"/>
        <v>0.83712121212121215</v>
      </c>
      <c r="I434">
        <f t="shared" si="32"/>
        <v>4.7221167236359031E-2</v>
      </c>
      <c r="J434">
        <f t="shared" si="33"/>
        <v>-249</v>
      </c>
      <c r="K434" t="str">
        <f t="shared" si="34"/>
        <v>Feb-2027</v>
      </c>
    </row>
    <row r="435" spans="1:11" x14ac:dyDescent="0.3">
      <c r="A435" s="3">
        <v>46445</v>
      </c>
      <c r="B435" s="2" t="str">
        <f t="shared" si="30"/>
        <v>Feb-2027</v>
      </c>
      <c r="C435">
        <v>132</v>
      </c>
      <c r="D435">
        <v>261</v>
      </c>
      <c r="E435">
        <v>141</v>
      </c>
      <c r="F435" s="1">
        <v>8292</v>
      </c>
      <c r="G435">
        <v>235</v>
      </c>
      <c r="H435">
        <f t="shared" si="31"/>
        <v>0.54022988505747127</v>
      </c>
      <c r="I435">
        <f t="shared" si="32"/>
        <v>2.8340569223347805E-2</v>
      </c>
      <c r="J435">
        <f t="shared" si="33"/>
        <v>-103</v>
      </c>
      <c r="K435" t="str">
        <f t="shared" si="34"/>
        <v>Feb-2027</v>
      </c>
    </row>
    <row r="436" spans="1:11" x14ac:dyDescent="0.3">
      <c r="A436" s="3">
        <v>46446</v>
      </c>
      <c r="B436" s="2" t="str">
        <f t="shared" si="30"/>
        <v>Feb-2027</v>
      </c>
      <c r="C436">
        <v>91</v>
      </c>
      <c r="D436">
        <v>181</v>
      </c>
      <c r="E436">
        <v>174</v>
      </c>
      <c r="F436" s="1">
        <v>8365</v>
      </c>
      <c r="G436">
        <v>227</v>
      </c>
      <c r="H436">
        <f t="shared" si="31"/>
        <v>0.96132596685082872</v>
      </c>
      <c r="I436">
        <f t="shared" si="32"/>
        <v>2.7136879856545129E-2</v>
      </c>
      <c r="J436">
        <f t="shared" si="33"/>
        <v>-136</v>
      </c>
      <c r="K436" t="str">
        <f t="shared" si="34"/>
        <v>Feb-2027</v>
      </c>
    </row>
    <row r="437" spans="1:11" x14ac:dyDescent="0.3">
      <c r="A437" s="3">
        <v>46447</v>
      </c>
      <c r="B437" s="2" t="str">
        <f t="shared" si="30"/>
        <v>Mar-2027</v>
      </c>
      <c r="C437">
        <v>99</v>
      </c>
      <c r="D437">
        <v>202</v>
      </c>
      <c r="E437">
        <v>256</v>
      </c>
      <c r="F437" s="1">
        <v>8390</v>
      </c>
      <c r="G437">
        <v>197</v>
      </c>
      <c r="H437">
        <f t="shared" si="31"/>
        <v>1.2673267326732673</v>
      </c>
      <c r="I437">
        <f t="shared" si="32"/>
        <v>2.3480333730631704E-2</v>
      </c>
      <c r="J437">
        <f t="shared" si="33"/>
        <v>-98</v>
      </c>
      <c r="K437" t="str">
        <f t="shared" si="34"/>
        <v>Mar-2027</v>
      </c>
    </row>
    <row r="438" spans="1:11" x14ac:dyDescent="0.3">
      <c r="A438" s="3">
        <v>46448</v>
      </c>
      <c r="B438" s="2" t="str">
        <f t="shared" si="30"/>
        <v>Mar-2027</v>
      </c>
      <c r="C438">
        <v>123</v>
      </c>
      <c r="D438">
        <v>243</v>
      </c>
      <c r="E438">
        <v>188</v>
      </c>
      <c r="F438" s="1">
        <v>8333</v>
      </c>
      <c r="G438">
        <v>283</v>
      </c>
      <c r="H438">
        <f t="shared" si="31"/>
        <v>0.77366255144032925</v>
      </c>
      <c r="I438">
        <f t="shared" si="32"/>
        <v>3.3961358454338175E-2</v>
      </c>
      <c r="J438">
        <f t="shared" si="33"/>
        <v>-160</v>
      </c>
      <c r="K438" t="str">
        <f t="shared" si="34"/>
        <v>Mar-2027</v>
      </c>
    </row>
    <row r="439" spans="1:11" x14ac:dyDescent="0.3">
      <c r="A439" s="3">
        <v>46449</v>
      </c>
      <c r="B439" s="2" t="str">
        <f t="shared" si="30"/>
        <v>Mar-2027</v>
      </c>
      <c r="C439">
        <v>127</v>
      </c>
      <c r="D439">
        <v>260</v>
      </c>
      <c r="E439">
        <v>259</v>
      </c>
      <c r="F439" s="1">
        <v>8373</v>
      </c>
      <c r="G439">
        <v>342</v>
      </c>
      <c r="H439">
        <f t="shared" si="31"/>
        <v>0.99615384615384617</v>
      </c>
      <c r="I439">
        <f t="shared" si="32"/>
        <v>4.084557506270154E-2</v>
      </c>
      <c r="J439">
        <f t="shared" si="33"/>
        <v>-215</v>
      </c>
      <c r="K439" t="str">
        <f t="shared" si="34"/>
        <v>Mar-2027</v>
      </c>
    </row>
    <row r="440" spans="1:11" x14ac:dyDescent="0.3">
      <c r="A440" s="3">
        <v>46450</v>
      </c>
      <c r="B440" s="2" t="str">
        <f t="shared" si="30"/>
        <v>Mar-2027</v>
      </c>
      <c r="C440">
        <v>166</v>
      </c>
      <c r="D440">
        <v>301</v>
      </c>
      <c r="E440">
        <v>252</v>
      </c>
      <c r="F440" s="1">
        <v>8695</v>
      </c>
      <c r="G440">
        <v>310</v>
      </c>
      <c r="H440">
        <f t="shared" si="31"/>
        <v>0.83720930232558144</v>
      </c>
      <c r="I440">
        <f t="shared" si="32"/>
        <v>3.565267395054629E-2</v>
      </c>
      <c r="J440">
        <f t="shared" si="33"/>
        <v>-144</v>
      </c>
      <c r="K440" t="str">
        <f t="shared" si="34"/>
        <v>Mar-2027</v>
      </c>
    </row>
    <row r="441" spans="1:11" x14ac:dyDescent="0.3">
      <c r="A441" s="3">
        <v>46451</v>
      </c>
      <c r="B441" s="2" t="str">
        <f t="shared" si="30"/>
        <v>Mar-2027</v>
      </c>
      <c r="C441">
        <v>165</v>
      </c>
      <c r="D441">
        <v>358</v>
      </c>
      <c r="E441">
        <v>167</v>
      </c>
      <c r="F441" s="1">
        <v>8819</v>
      </c>
      <c r="G441">
        <v>239</v>
      </c>
      <c r="H441">
        <f t="shared" si="31"/>
        <v>0.46648044692737428</v>
      </c>
      <c r="I441">
        <f t="shared" si="32"/>
        <v>2.7100578296859055E-2</v>
      </c>
      <c r="J441">
        <f t="shared" si="33"/>
        <v>-74</v>
      </c>
      <c r="K441" t="str">
        <f t="shared" si="34"/>
        <v>Mar-2027</v>
      </c>
    </row>
    <row r="442" spans="1:11" x14ac:dyDescent="0.3">
      <c r="A442" s="3">
        <v>46452</v>
      </c>
      <c r="B442" s="2" t="str">
        <f t="shared" si="30"/>
        <v>Mar-2027</v>
      </c>
      <c r="C442">
        <v>154</v>
      </c>
      <c r="D442">
        <v>294</v>
      </c>
      <c r="E442">
        <v>290</v>
      </c>
      <c r="F442" s="1">
        <v>8843</v>
      </c>
      <c r="G442">
        <v>213</v>
      </c>
      <c r="H442">
        <f t="shared" si="31"/>
        <v>0.98639455782312924</v>
      </c>
      <c r="I442">
        <f t="shared" si="32"/>
        <v>2.4086848354630781E-2</v>
      </c>
      <c r="J442">
        <f t="shared" si="33"/>
        <v>-59</v>
      </c>
      <c r="K442" t="str">
        <f t="shared" si="34"/>
        <v>Mar-2027</v>
      </c>
    </row>
    <row r="443" spans="1:11" x14ac:dyDescent="0.3">
      <c r="A443" s="3">
        <v>46453</v>
      </c>
      <c r="B443" s="2" t="str">
        <f t="shared" si="30"/>
        <v>Mar-2027</v>
      </c>
      <c r="C443">
        <v>178</v>
      </c>
      <c r="D443">
        <v>336</v>
      </c>
      <c r="E443">
        <v>290</v>
      </c>
      <c r="F443" s="1">
        <v>8757</v>
      </c>
      <c r="G443">
        <v>253</v>
      </c>
      <c r="H443">
        <f t="shared" si="31"/>
        <v>0.86309523809523814</v>
      </c>
      <c r="I443">
        <f t="shared" si="32"/>
        <v>2.8891172776064861E-2</v>
      </c>
      <c r="J443">
        <f t="shared" si="33"/>
        <v>-75</v>
      </c>
      <c r="K443" t="str">
        <f t="shared" si="34"/>
        <v>Mar-2027</v>
      </c>
    </row>
    <row r="444" spans="1:11" x14ac:dyDescent="0.3">
      <c r="A444" s="3">
        <v>46454</v>
      </c>
      <c r="B444" s="2" t="str">
        <f t="shared" si="30"/>
        <v>Mar-2027</v>
      </c>
      <c r="C444">
        <v>190</v>
      </c>
      <c r="D444">
        <v>368</v>
      </c>
      <c r="E444">
        <v>326</v>
      </c>
      <c r="F444" s="1">
        <v>8714</v>
      </c>
      <c r="G444">
        <v>373</v>
      </c>
      <c r="H444">
        <f t="shared" si="31"/>
        <v>0.88586956521739135</v>
      </c>
      <c r="I444">
        <f t="shared" si="32"/>
        <v>4.2804682120725267E-2</v>
      </c>
      <c r="J444">
        <f t="shared" si="33"/>
        <v>-183</v>
      </c>
      <c r="K444" t="str">
        <f t="shared" si="34"/>
        <v>Mar-2027</v>
      </c>
    </row>
    <row r="445" spans="1:11" x14ac:dyDescent="0.3">
      <c r="A445" s="3">
        <v>46455</v>
      </c>
      <c r="B445" s="2" t="str">
        <f t="shared" si="30"/>
        <v>Mar-2027</v>
      </c>
      <c r="C445">
        <v>181</v>
      </c>
      <c r="D445">
        <v>424</v>
      </c>
      <c r="E445">
        <v>328</v>
      </c>
      <c r="F445" s="1">
        <v>8902</v>
      </c>
      <c r="G445">
        <v>305</v>
      </c>
      <c r="H445">
        <f t="shared" si="31"/>
        <v>0.77358490566037741</v>
      </c>
      <c r="I445">
        <f t="shared" si="32"/>
        <v>3.4261963603684567E-2</v>
      </c>
      <c r="J445">
        <f t="shared" si="33"/>
        <v>-124</v>
      </c>
      <c r="K445" t="str">
        <f t="shared" si="34"/>
        <v>Mar-2027</v>
      </c>
    </row>
    <row r="446" spans="1:11" x14ac:dyDescent="0.3">
      <c r="A446" s="3">
        <v>46456</v>
      </c>
      <c r="B446" s="2" t="str">
        <f t="shared" si="30"/>
        <v>Mar-2027</v>
      </c>
      <c r="C446">
        <v>230</v>
      </c>
      <c r="D446">
        <v>457</v>
      </c>
      <c r="E446">
        <v>277</v>
      </c>
      <c r="F446" s="1">
        <v>8870</v>
      </c>
      <c r="G446">
        <v>232</v>
      </c>
      <c r="H446">
        <f t="shared" si="31"/>
        <v>0.60612691466083146</v>
      </c>
      <c r="I446">
        <f t="shared" si="32"/>
        <v>2.6155580608793687E-2</v>
      </c>
      <c r="J446">
        <f t="shared" si="33"/>
        <v>-2</v>
      </c>
      <c r="K446" t="str">
        <f t="shared" si="34"/>
        <v>Mar-2027</v>
      </c>
    </row>
    <row r="447" spans="1:11" x14ac:dyDescent="0.3">
      <c r="A447" s="3">
        <v>46457</v>
      </c>
      <c r="B447" s="2" t="str">
        <f t="shared" si="30"/>
        <v>Mar-2027</v>
      </c>
      <c r="C447">
        <v>246</v>
      </c>
      <c r="D447">
        <v>472</v>
      </c>
      <c r="E447">
        <v>345</v>
      </c>
      <c r="F447" s="1">
        <v>8800</v>
      </c>
      <c r="G447">
        <v>214</v>
      </c>
      <c r="H447">
        <f t="shared" si="31"/>
        <v>0.73093220338983056</v>
      </c>
      <c r="I447">
        <f t="shared" si="32"/>
        <v>2.4318181818181819E-2</v>
      </c>
      <c r="J447">
        <f t="shared" si="33"/>
        <v>32</v>
      </c>
      <c r="K447" t="str">
        <f t="shared" si="34"/>
        <v>Mar-2027</v>
      </c>
    </row>
    <row r="448" spans="1:11" x14ac:dyDescent="0.3">
      <c r="A448" s="3">
        <v>46458</v>
      </c>
      <c r="B448" s="2" t="str">
        <f t="shared" si="30"/>
        <v>Mar-2027</v>
      </c>
      <c r="C448">
        <v>225</v>
      </c>
      <c r="D448">
        <v>509</v>
      </c>
      <c r="E448">
        <v>340</v>
      </c>
      <c r="F448" s="1">
        <v>8660</v>
      </c>
      <c r="G448">
        <v>229</v>
      </c>
      <c r="H448">
        <f t="shared" si="31"/>
        <v>0.66797642436149307</v>
      </c>
      <c r="I448">
        <f t="shared" si="32"/>
        <v>2.6443418013856811E-2</v>
      </c>
      <c r="J448">
        <f t="shared" si="33"/>
        <v>-4</v>
      </c>
      <c r="K448" t="str">
        <f t="shared" si="34"/>
        <v>Mar-2027</v>
      </c>
    </row>
    <row r="449" spans="1:11" x14ac:dyDescent="0.3">
      <c r="A449" s="3">
        <v>46459</v>
      </c>
      <c r="B449" s="2" t="str">
        <f t="shared" si="30"/>
        <v>Mar-2027</v>
      </c>
      <c r="C449">
        <v>236</v>
      </c>
      <c r="D449">
        <v>468</v>
      </c>
      <c r="E449">
        <v>347</v>
      </c>
      <c r="F449" s="1">
        <v>8594</v>
      </c>
      <c r="G449">
        <v>354</v>
      </c>
      <c r="H449">
        <f t="shared" si="31"/>
        <v>0.74145299145299148</v>
      </c>
      <c r="I449">
        <f t="shared" si="32"/>
        <v>4.1191528973702582E-2</v>
      </c>
      <c r="J449">
        <f t="shared" si="33"/>
        <v>-118</v>
      </c>
      <c r="K449" t="str">
        <f t="shared" si="34"/>
        <v>Mar-2027</v>
      </c>
    </row>
    <row r="450" spans="1:11" x14ac:dyDescent="0.3">
      <c r="A450" s="3">
        <v>46460</v>
      </c>
      <c r="B450" s="2" t="str">
        <f t="shared" si="30"/>
        <v>Mar-2027</v>
      </c>
      <c r="C450">
        <v>262</v>
      </c>
      <c r="D450">
        <v>444</v>
      </c>
      <c r="E450">
        <v>354</v>
      </c>
      <c r="F450" s="1">
        <v>8724</v>
      </c>
      <c r="G450">
        <v>299</v>
      </c>
      <c r="H450">
        <f t="shared" si="31"/>
        <v>0.79729729729729726</v>
      </c>
      <c r="I450">
        <f t="shared" si="32"/>
        <v>3.4273269142595139E-2</v>
      </c>
      <c r="J450">
        <f t="shared" si="33"/>
        <v>-37</v>
      </c>
      <c r="K450" t="str">
        <f t="shared" si="34"/>
        <v>Mar-2027</v>
      </c>
    </row>
    <row r="451" spans="1:11" x14ac:dyDescent="0.3">
      <c r="A451" s="3">
        <v>46461</v>
      </c>
      <c r="B451" s="2" t="str">
        <f t="shared" ref="B451:B514" si="35">TEXT(A451,"mmm-yyyy")</f>
        <v>Mar-2027</v>
      </c>
      <c r="C451">
        <v>209</v>
      </c>
      <c r="D451">
        <v>447</v>
      </c>
      <c r="E451">
        <v>274</v>
      </c>
      <c r="F451" s="1">
        <v>8699</v>
      </c>
      <c r="G451">
        <v>257</v>
      </c>
      <c r="H451">
        <f t="shared" ref="H451:H514" si="36">E451/D451</f>
        <v>0.61297539149888147</v>
      </c>
      <c r="I451">
        <f t="shared" ref="I451:I514" si="37">G451/F451</f>
        <v>2.9543625704103921E-2</v>
      </c>
      <c r="J451">
        <f t="shared" ref="J451:J514" si="38">C451-G451</f>
        <v>-48</v>
      </c>
      <c r="K451" t="str">
        <f t="shared" ref="K451:K514" si="39">TEXT(A451,"mmm-yyyy")</f>
        <v>Mar-2027</v>
      </c>
    </row>
    <row r="452" spans="1:11" x14ac:dyDescent="0.3">
      <c r="A452" s="3">
        <v>46462</v>
      </c>
      <c r="B452" s="2" t="str">
        <f t="shared" si="35"/>
        <v>Mar-2027</v>
      </c>
      <c r="C452">
        <v>197</v>
      </c>
      <c r="D452">
        <v>369</v>
      </c>
      <c r="E452">
        <v>306</v>
      </c>
      <c r="F452" s="1">
        <v>8650</v>
      </c>
      <c r="G452">
        <v>206</v>
      </c>
      <c r="H452">
        <f t="shared" si="36"/>
        <v>0.82926829268292679</v>
      </c>
      <c r="I452">
        <f t="shared" si="37"/>
        <v>2.3815028901734103E-2</v>
      </c>
      <c r="J452">
        <f t="shared" si="38"/>
        <v>-9</v>
      </c>
      <c r="K452" t="str">
        <f t="shared" si="39"/>
        <v>Mar-2027</v>
      </c>
    </row>
    <row r="453" spans="1:11" x14ac:dyDescent="0.3">
      <c r="A453" s="3">
        <v>46463</v>
      </c>
      <c r="B453" s="2" t="str">
        <f t="shared" si="35"/>
        <v>Mar-2027</v>
      </c>
      <c r="C453">
        <v>199</v>
      </c>
      <c r="D453">
        <v>438</v>
      </c>
      <c r="E453">
        <v>326</v>
      </c>
      <c r="F453" s="1">
        <v>8404</v>
      </c>
      <c r="G453">
        <v>329</v>
      </c>
      <c r="H453">
        <f t="shared" si="36"/>
        <v>0.74429223744292239</v>
      </c>
      <c r="I453">
        <f t="shared" si="37"/>
        <v>3.9148024750118991E-2</v>
      </c>
      <c r="J453">
        <f t="shared" si="38"/>
        <v>-130</v>
      </c>
      <c r="K453" t="str">
        <f t="shared" si="39"/>
        <v>Mar-2027</v>
      </c>
    </row>
    <row r="454" spans="1:11" x14ac:dyDescent="0.3">
      <c r="A454" s="3">
        <v>46464</v>
      </c>
      <c r="B454" s="2" t="str">
        <f t="shared" si="35"/>
        <v>Mar-2027</v>
      </c>
      <c r="C454">
        <v>244</v>
      </c>
      <c r="D454">
        <v>482</v>
      </c>
      <c r="E454">
        <v>366</v>
      </c>
      <c r="F454" s="1">
        <v>8404</v>
      </c>
      <c r="G454">
        <v>329</v>
      </c>
      <c r="H454">
        <f t="shared" si="36"/>
        <v>0.75933609958506221</v>
      </c>
      <c r="I454">
        <f t="shared" si="37"/>
        <v>3.9148024750118991E-2</v>
      </c>
      <c r="J454">
        <f t="shared" si="38"/>
        <v>-85</v>
      </c>
      <c r="K454" t="str">
        <f t="shared" si="39"/>
        <v>Mar-2027</v>
      </c>
    </row>
    <row r="455" spans="1:11" x14ac:dyDescent="0.3">
      <c r="A455" s="3">
        <v>46465</v>
      </c>
      <c r="B455" s="2" t="str">
        <f t="shared" si="35"/>
        <v>Mar-2027</v>
      </c>
      <c r="C455">
        <v>165</v>
      </c>
      <c r="D455">
        <v>400</v>
      </c>
      <c r="E455">
        <v>292</v>
      </c>
      <c r="F455" s="1">
        <v>8607</v>
      </c>
      <c r="G455">
        <v>293</v>
      </c>
      <c r="H455">
        <f t="shared" si="36"/>
        <v>0.73</v>
      </c>
      <c r="I455">
        <f t="shared" si="37"/>
        <v>3.4042058789357503E-2</v>
      </c>
      <c r="J455">
        <f t="shared" si="38"/>
        <v>-128</v>
      </c>
      <c r="K455" t="str">
        <f t="shared" si="39"/>
        <v>Mar-2027</v>
      </c>
    </row>
    <row r="456" spans="1:11" x14ac:dyDescent="0.3">
      <c r="A456" s="3">
        <v>46466</v>
      </c>
      <c r="B456" s="2" t="str">
        <f t="shared" si="35"/>
        <v>Mar-2027</v>
      </c>
      <c r="C456">
        <v>232</v>
      </c>
      <c r="D456">
        <v>430</v>
      </c>
      <c r="E456">
        <v>318</v>
      </c>
      <c r="F456" s="1">
        <v>8573</v>
      </c>
      <c r="G456">
        <v>231</v>
      </c>
      <c r="H456">
        <f t="shared" si="36"/>
        <v>0.73953488372093024</v>
      </c>
      <c r="I456">
        <f t="shared" si="37"/>
        <v>2.6945060072320073E-2</v>
      </c>
      <c r="J456">
        <f t="shared" si="38"/>
        <v>1</v>
      </c>
      <c r="K456" t="str">
        <f t="shared" si="39"/>
        <v>Mar-2027</v>
      </c>
    </row>
    <row r="457" spans="1:11" x14ac:dyDescent="0.3">
      <c r="A457" s="3">
        <v>46467</v>
      </c>
      <c r="B457" s="2" t="str">
        <f t="shared" si="35"/>
        <v>Mar-2027</v>
      </c>
      <c r="C457">
        <v>149</v>
      </c>
      <c r="D457">
        <v>395</v>
      </c>
      <c r="E457">
        <v>273</v>
      </c>
      <c r="F457" s="1">
        <v>8488</v>
      </c>
      <c r="G457">
        <v>192</v>
      </c>
      <c r="H457">
        <f t="shared" si="36"/>
        <v>0.69113924050632913</v>
      </c>
      <c r="I457">
        <f t="shared" si="37"/>
        <v>2.2620169651272386E-2</v>
      </c>
      <c r="J457">
        <f t="shared" si="38"/>
        <v>-43</v>
      </c>
      <c r="K457" t="str">
        <f t="shared" si="39"/>
        <v>Mar-2027</v>
      </c>
    </row>
    <row r="458" spans="1:11" x14ac:dyDescent="0.3">
      <c r="A458" s="3">
        <v>46468</v>
      </c>
      <c r="B458" s="2" t="str">
        <f t="shared" si="35"/>
        <v>Mar-2027</v>
      </c>
      <c r="C458">
        <v>249</v>
      </c>
      <c r="D458">
        <v>420</v>
      </c>
      <c r="E458">
        <v>371</v>
      </c>
      <c r="F458" s="1">
        <v>8380</v>
      </c>
      <c r="G458">
        <v>218</v>
      </c>
      <c r="H458">
        <f t="shared" si="36"/>
        <v>0.8833333333333333</v>
      </c>
      <c r="I458">
        <f t="shared" si="37"/>
        <v>2.6014319809069212E-2</v>
      </c>
      <c r="J458">
        <f t="shared" si="38"/>
        <v>31</v>
      </c>
      <c r="K458" t="str">
        <f t="shared" si="39"/>
        <v>Mar-2027</v>
      </c>
    </row>
    <row r="459" spans="1:11" x14ac:dyDescent="0.3">
      <c r="A459" s="3">
        <v>46469</v>
      </c>
      <c r="B459" s="2" t="str">
        <f t="shared" si="35"/>
        <v>Mar-2027</v>
      </c>
      <c r="C459">
        <v>333</v>
      </c>
      <c r="D459">
        <v>508</v>
      </c>
      <c r="E459">
        <v>272</v>
      </c>
      <c r="F459" s="1">
        <v>8463</v>
      </c>
      <c r="G459">
        <v>312</v>
      </c>
      <c r="H459">
        <f t="shared" si="36"/>
        <v>0.53543307086614178</v>
      </c>
      <c r="I459">
        <f t="shared" si="37"/>
        <v>3.6866359447004608E-2</v>
      </c>
      <c r="J459">
        <f t="shared" si="38"/>
        <v>21</v>
      </c>
      <c r="K459" t="str">
        <f t="shared" si="39"/>
        <v>Mar-2027</v>
      </c>
    </row>
    <row r="460" spans="1:11" x14ac:dyDescent="0.3">
      <c r="A460" s="3">
        <v>46470</v>
      </c>
      <c r="B460" s="2" t="str">
        <f t="shared" si="35"/>
        <v>Mar-2027</v>
      </c>
      <c r="C460">
        <v>185</v>
      </c>
      <c r="D460">
        <v>322</v>
      </c>
      <c r="E460">
        <v>272</v>
      </c>
      <c r="F460" s="1">
        <v>8512</v>
      </c>
      <c r="G460">
        <v>230</v>
      </c>
      <c r="H460">
        <f t="shared" si="36"/>
        <v>0.84472049689440998</v>
      </c>
      <c r="I460">
        <f t="shared" si="37"/>
        <v>2.7020676691729324E-2</v>
      </c>
      <c r="J460">
        <f t="shared" si="38"/>
        <v>-45</v>
      </c>
      <c r="K460" t="str">
        <f t="shared" si="39"/>
        <v>Mar-2027</v>
      </c>
    </row>
    <row r="461" spans="1:11" x14ac:dyDescent="0.3">
      <c r="A461" s="3">
        <v>46471</v>
      </c>
      <c r="B461" s="2" t="str">
        <f t="shared" si="35"/>
        <v>Mar-2027</v>
      </c>
      <c r="C461">
        <v>227</v>
      </c>
      <c r="D461">
        <v>369</v>
      </c>
      <c r="E461">
        <v>349</v>
      </c>
      <c r="F461" s="1">
        <v>8348</v>
      </c>
      <c r="G461">
        <v>160</v>
      </c>
      <c r="H461">
        <f t="shared" si="36"/>
        <v>0.94579945799457998</v>
      </c>
      <c r="I461">
        <f t="shared" si="37"/>
        <v>1.9166267369429803E-2</v>
      </c>
      <c r="J461">
        <f t="shared" si="38"/>
        <v>67</v>
      </c>
      <c r="K461" t="str">
        <f t="shared" si="39"/>
        <v>Mar-2027</v>
      </c>
    </row>
    <row r="462" spans="1:11" x14ac:dyDescent="0.3">
      <c r="A462" s="3">
        <v>46472</v>
      </c>
      <c r="B462" s="2" t="str">
        <f t="shared" si="35"/>
        <v>Mar-2027</v>
      </c>
      <c r="C462">
        <v>213</v>
      </c>
      <c r="D462">
        <v>430</v>
      </c>
      <c r="E462">
        <v>440</v>
      </c>
      <c r="F462" s="1">
        <v>8092</v>
      </c>
      <c r="G462">
        <v>234</v>
      </c>
      <c r="H462">
        <f t="shared" si="36"/>
        <v>1.0232558139534884</v>
      </c>
      <c r="I462">
        <f t="shared" si="37"/>
        <v>2.8917449332674247E-2</v>
      </c>
      <c r="J462">
        <f t="shared" si="38"/>
        <v>-21</v>
      </c>
      <c r="K462" t="str">
        <f t="shared" si="39"/>
        <v>Mar-2027</v>
      </c>
    </row>
    <row r="463" spans="1:11" x14ac:dyDescent="0.3">
      <c r="A463" s="3">
        <v>46473</v>
      </c>
      <c r="B463" s="2" t="str">
        <f t="shared" si="35"/>
        <v>Mar-2027</v>
      </c>
      <c r="C463">
        <v>205</v>
      </c>
      <c r="D463">
        <v>515</v>
      </c>
      <c r="E463">
        <v>226</v>
      </c>
      <c r="F463" s="1">
        <v>8056</v>
      </c>
      <c r="G463">
        <v>347</v>
      </c>
      <c r="H463">
        <f t="shared" si="36"/>
        <v>0.43883495145631068</v>
      </c>
      <c r="I463">
        <f t="shared" si="37"/>
        <v>4.3073485600794437E-2</v>
      </c>
      <c r="J463">
        <f t="shared" si="38"/>
        <v>-142</v>
      </c>
      <c r="K463" t="str">
        <f t="shared" si="39"/>
        <v>Mar-2027</v>
      </c>
    </row>
    <row r="464" spans="1:11" x14ac:dyDescent="0.3">
      <c r="A464" s="3">
        <v>46474</v>
      </c>
      <c r="B464" s="2" t="str">
        <f t="shared" si="35"/>
        <v>Mar-2027</v>
      </c>
      <c r="C464">
        <v>298</v>
      </c>
      <c r="D464">
        <v>499</v>
      </c>
      <c r="E464">
        <v>358</v>
      </c>
      <c r="F464" s="1">
        <v>8188</v>
      </c>
      <c r="G464">
        <v>315</v>
      </c>
      <c r="H464">
        <f t="shared" si="36"/>
        <v>0.71743486973947901</v>
      </c>
      <c r="I464">
        <f t="shared" si="37"/>
        <v>3.8470933072789447E-2</v>
      </c>
      <c r="J464">
        <f t="shared" si="38"/>
        <v>-17</v>
      </c>
      <c r="K464" t="str">
        <f t="shared" si="39"/>
        <v>Mar-2027</v>
      </c>
    </row>
    <row r="465" spans="1:11" x14ac:dyDescent="0.3">
      <c r="A465" s="3">
        <v>46475</v>
      </c>
      <c r="B465" s="2" t="str">
        <f t="shared" si="35"/>
        <v>Mar-2027</v>
      </c>
      <c r="C465">
        <v>227</v>
      </c>
      <c r="D465">
        <v>453</v>
      </c>
      <c r="E465">
        <v>330</v>
      </c>
      <c r="F465" s="1">
        <v>8160</v>
      </c>
      <c r="G465">
        <v>222</v>
      </c>
      <c r="H465">
        <f t="shared" si="36"/>
        <v>0.72847682119205293</v>
      </c>
      <c r="I465">
        <f t="shared" si="37"/>
        <v>2.7205882352941177E-2</v>
      </c>
      <c r="J465">
        <f t="shared" si="38"/>
        <v>5</v>
      </c>
      <c r="K465" t="str">
        <f t="shared" si="39"/>
        <v>Mar-2027</v>
      </c>
    </row>
    <row r="466" spans="1:11" x14ac:dyDescent="0.3">
      <c r="A466" s="3">
        <v>46476</v>
      </c>
      <c r="B466" s="2" t="str">
        <f t="shared" si="35"/>
        <v>Mar-2027</v>
      </c>
      <c r="C466">
        <v>291</v>
      </c>
      <c r="D466">
        <v>455</v>
      </c>
      <c r="E466">
        <v>323</v>
      </c>
      <c r="F466" s="1">
        <v>8045</v>
      </c>
      <c r="G466">
        <v>178</v>
      </c>
      <c r="H466">
        <f t="shared" si="36"/>
        <v>0.70989010989010992</v>
      </c>
      <c r="I466">
        <f t="shared" si="37"/>
        <v>2.2125543816034803E-2</v>
      </c>
      <c r="J466">
        <f t="shared" si="38"/>
        <v>113</v>
      </c>
      <c r="K466" t="str">
        <f t="shared" si="39"/>
        <v>Mar-2027</v>
      </c>
    </row>
    <row r="467" spans="1:11" x14ac:dyDescent="0.3">
      <c r="A467" s="3">
        <v>46477</v>
      </c>
      <c r="B467" s="2" t="str">
        <f t="shared" si="35"/>
        <v>Mar-2027</v>
      </c>
      <c r="C467">
        <v>157</v>
      </c>
      <c r="D467">
        <v>466</v>
      </c>
      <c r="E467">
        <v>345</v>
      </c>
      <c r="F467" s="1">
        <v>7872</v>
      </c>
      <c r="G467">
        <v>242</v>
      </c>
      <c r="H467">
        <f t="shared" si="36"/>
        <v>0.74034334763948495</v>
      </c>
      <c r="I467">
        <f t="shared" si="37"/>
        <v>3.0741869918699188E-2</v>
      </c>
      <c r="J467">
        <f t="shared" si="38"/>
        <v>-85</v>
      </c>
      <c r="K467" t="str">
        <f t="shared" si="39"/>
        <v>Mar-2027</v>
      </c>
    </row>
    <row r="468" spans="1:11" x14ac:dyDescent="0.3">
      <c r="A468" s="3">
        <v>46478</v>
      </c>
      <c r="B468" s="2" t="str">
        <f t="shared" si="35"/>
        <v>Apr-2027</v>
      </c>
      <c r="C468">
        <v>253</v>
      </c>
      <c r="D468">
        <v>531</v>
      </c>
      <c r="E468">
        <v>248</v>
      </c>
      <c r="F468" s="1">
        <v>7813</v>
      </c>
      <c r="G468">
        <v>342</v>
      </c>
      <c r="H468">
        <f t="shared" si="36"/>
        <v>0.46704331450094161</v>
      </c>
      <c r="I468">
        <f t="shared" si="37"/>
        <v>4.3773198515295021E-2</v>
      </c>
      <c r="J468">
        <f t="shared" si="38"/>
        <v>-89</v>
      </c>
      <c r="K468" t="str">
        <f t="shared" si="39"/>
        <v>Apr-2027</v>
      </c>
    </row>
    <row r="469" spans="1:11" x14ac:dyDescent="0.3">
      <c r="A469" s="3">
        <v>46479</v>
      </c>
      <c r="B469" s="2" t="str">
        <f t="shared" si="35"/>
        <v>Apr-2027</v>
      </c>
      <c r="C469">
        <v>222</v>
      </c>
      <c r="D469">
        <v>459</v>
      </c>
      <c r="E469">
        <v>289</v>
      </c>
      <c r="F469" s="1">
        <v>8026</v>
      </c>
      <c r="G469">
        <v>337</v>
      </c>
      <c r="H469">
        <f t="shared" si="36"/>
        <v>0.62962962962962965</v>
      </c>
      <c r="I469">
        <f t="shared" si="37"/>
        <v>4.1988537253924742E-2</v>
      </c>
      <c r="J469">
        <f t="shared" si="38"/>
        <v>-115</v>
      </c>
      <c r="K469" t="str">
        <f t="shared" si="39"/>
        <v>Apr-2027</v>
      </c>
    </row>
    <row r="470" spans="1:11" x14ac:dyDescent="0.3">
      <c r="A470" s="3">
        <v>46480</v>
      </c>
      <c r="B470" s="2" t="str">
        <f t="shared" si="35"/>
        <v>Apr-2027</v>
      </c>
      <c r="C470">
        <v>203</v>
      </c>
      <c r="D470">
        <v>477</v>
      </c>
      <c r="E470">
        <v>258</v>
      </c>
      <c r="F470" s="1">
        <v>8153</v>
      </c>
      <c r="G470">
        <v>266</v>
      </c>
      <c r="H470">
        <f t="shared" si="36"/>
        <v>0.54088050314465408</v>
      </c>
      <c r="I470">
        <f t="shared" si="37"/>
        <v>3.2626027229240767E-2</v>
      </c>
      <c r="J470">
        <f t="shared" si="38"/>
        <v>-63</v>
      </c>
      <c r="K470" t="str">
        <f t="shared" si="39"/>
        <v>Apr-2027</v>
      </c>
    </row>
    <row r="471" spans="1:11" x14ac:dyDescent="0.3">
      <c r="A471" s="3">
        <v>46481</v>
      </c>
      <c r="B471" s="2" t="str">
        <f t="shared" si="35"/>
        <v>Apr-2027</v>
      </c>
      <c r="C471">
        <v>93</v>
      </c>
      <c r="D471">
        <v>198</v>
      </c>
      <c r="E471">
        <v>208</v>
      </c>
      <c r="F471" s="1">
        <v>8182</v>
      </c>
      <c r="G471">
        <v>187</v>
      </c>
      <c r="H471">
        <f t="shared" si="36"/>
        <v>1.0505050505050506</v>
      </c>
      <c r="I471">
        <f t="shared" si="37"/>
        <v>2.285504766560743E-2</v>
      </c>
      <c r="J471">
        <f t="shared" si="38"/>
        <v>-94</v>
      </c>
      <c r="K471" t="str">
        <f t="shared" si="39"/>
        <v>Apr-2027</v>
      </c>
    </row>
    <row r="472" spans="1:11" x14ac:dyDescent="0.3">
      <c r="A472" s="3">
        <v>46482</v>
      </c>
      <c r="B472" s="2" t="str">
        <f t="shared" si="35"/>
        <v>Apr-2027</v>
      </c>
      <c r="C472">
        <v>137</v>
      </c>
      <c r="D472">
        <v>272</v>
      </c>
      <c r="E472">
        <v>166</v>
      </c>
      <c r="F472" s="1">
        <v>8057</v>
      </c>
      <c r="G472">
        <v>195</v>
      </c>
      <c r="H472">
        <f t="shared" si="36"/>
        <v>0.61029411764705888</v>
      </c>
      <c r="I472">
        <f t="shared" si="37"/>
        <v>2.4202556782921682E-2</v>
      </c>
      <c r="J472">
        <f t="shared" si="38"/>
        <v>-58</v>
      </c>
      <c r="K472" t="str">
        <f t="shared" si="39"/>
        <v>Apr-2027</v>
      </c>
    </row>
    <row r="473" spans="1:11" x14ac:dyDescent="0.3">
      <c r="A473" s="3">
        <v>46483</v>
      </c>
      <c r="B473" s="2" t="str">
        <f t="shared" si="35"/>
        <v>Apr-2027</v>
      </c>
      <c r="C473">
        <v>120</v>
      </c>
      <c r="D473">
        <v>257</v>
      </c>
      <c r="E473">
        <v>126</v>
      </c>
      <c r="F473" s="1">
        <v>8004</v>
      </c>
      <c r="G473">
        <v>307</v>
      </c>
      <c r="H473">
        <f t="shared" si="36"/>
        <v>0.49027237354085601</v>
      </c>
      <c r="I473">
        <f t="shared" si="37"/>
        <v>3.8355822088955521E-2</v>
      </c>
      <c r="J473">
        <f t="shared" si="38"/>
        <v>-187</v>
      </c>
      <c r="K473" t="str">
        <f t="shared" si="39"/>
        <v>Apr-2027</v>
      </c>
    </row>
    <row r="474" spans="1:11" x14ac:dyDescent="0.3">
      <c r="A474" s="3">
        <v>46484</v>
      </c>
      <c r="B474" s="2" t="str">
        <f t="shared" si="35"/>
        <v>Apr-2027</v>
      </c>
      <c r="C474">
        <v>102</v>
      </c>
      <c r="D474">
        <v>189</v>
      </c>
      <c r="E474">
        <v>155</v>
      </c>
      <c r="F474" s="1">
        <v>8180</v>
      </c>
      <c r="G474">
        <v>293</v>
      </c>
      <c r="H474">
        <f t="shared" si="36"/>
        <v>0.82010582010582012</v>
      </c>
      <c r="I474">
        <f t="shared" si="37"/>
        <v>3.5819070904645478E-2</v>
      </c>
      <c r="J474">
        <f t="shared" si="38"/>
        <v>-191</v>
      </c>
      <c r="K474" t="str">
        <f t="shared" si="39"/>
        <v>Apr-2027</v>
      </c>
    </row>
    <row r="475" spans="1:11" x14ac:dyDescent="0.3">
      <c r="A475" s="3">
        <v>46485</v>
      </c>
      <c r="B475" s="2" t="str">
        <f t="shared" si="35"/>
        <v>Apr-2027</v>
      </c>
      <c r="C475">
        <v>90</v>
      </c>
      <c r="D475">
        <v>196</v>
      </c>
      <c r="E475">
        <v>205</v>
      </c>
      <c r="F475" s="1">
        <v>8212</v>
      </c>
      <c r="G475">
        <v>243</v>
      </c>
      <c r="H475">
        <f t="shared" si="36"/>
        <v>1.0459183673469388</v>
      </c>
      <c r="I475">
        <f t="shared" si="37"/>
        <v>2.959084266926449E-2</v>
      </c>
      <c r="J475">
        <f t="shared" si="38"/>
        <v>-153</v>
      </c>
      <c r="K475" t="str">
        <f t="shared" si="39"/>
        <v>Apr-2027</v>
      </c>
    </row>
    <row r="476" spans="1:11" x14ac:dyDescent="0.3">
      <c r="A476" s="3">
        <v>46486</v>
      </c>
      <c r="B476" s="2" t="str">
        <f t="shared" si="35"/>
        <v>Apr-2027</v>
      </c>
      <c r="C476">
        <v>128</v>
      </c>
      <c r="D476">
        <v>228</v>
      </c>
      <c r="E476">
        <v>177</v>
      </c>
      <c r="F476" s="1">
        <v>8133</v>
      </c>
      <c r="G476">
        <v>202</v>
      </c>
      <c r="H476">
        <f t="shared" si="36"/>
        <v>0.77631578947368418</v>
      </c>
      <c r="I476">
        <f t="shared" si="37"/>
        <v>2.4837083487028157E-2</v>
      </c>
      <c r="J476">
        <f t="shared" si="38"/>
        <v>-74</v>
      </c>
      <c r="K476" t="str">
        <f t="shared" si="39"/>
        <v>Apr-2027</v>
      </c>
    </row>
    <row r="477" spans="1:11" x14ac:dyDescent="0.3">
      <c r="A477" s="3">
        <v>46487</v>
      </c>
      <c r="B477" s="2" t="str">
        <f t="shared" si="35"/>
        <v>Apr-2027</v>
      </c>
      <c r="C477">
        <v>136</v>
      </c>
      <c r="D477">
        <v>246</v>
      </c>
      <c r="E477">
        <v>123</v>
      </c>
      <c r="F477" s="1">
        <v>8008</v>
      </c>
      <c r="G477">
        <v>222</v>
      </c>
      <c r="H477">
        <f t="shared" si="36"/>
        <v>0.5</v>
      </c>
      <c r="I477">
        <f t="shared" si="37"/>
        <v>2.7722277722277724E-2</v>
      </c>
      <c r="J477">
        <f t="shared" si="38"/>
        <v>-86</v>
      </c>
      <c r="K477" t="str">
        <f t="shared" si="39"/>
        <v>Apr-2027</v>
      </c>
    </row>
    <row r="478" spans="1:11" x14ac:dyDescent="0.3">
      <c r="A478" s="3">
        <v>46488</v>
      </c>
      <c r="B478" s="2" t="str">
        <f t="shared" si="35"/>
        <v>Apr-2027</v>
      </c>
      <c r="C478">
        <v>105</v>
      </c>
      <c r="D478">
        <v>185</v>
      </c>
      <c r="E478">
        <v>158</v>
      </c>
      <c r="F478" s="1">
        <v>7974</v>
      </c>
      <c r="G478">
        <v>371</v>
      </c>
      <c r="H478">
        <f t="shared" si="36"/>
        <v>0.8540540540540541</v>
      </c>
      <c r="I478">
        <f t="shared" si="37"/>
        <v>4.6526210183095058E-2</v>
      </c>
      <c r="J478">
        <f t="shared" si="38"/>
        <v>-266</v>
      </c>
      <c r="K478" t="str">
        <f t="shared" si="39"/>
        <v>Apr-2027</v>
      </c>
    </row>
    <row r="479" spans="1:11" x14ac:dyDescent="0.3">
      <c r="A479" s="3">
        <v>46489</v>
      </c>
      <c r="B479" s="2" t="str">
        <f t="shared" si="35"/>
        <v>Apr-2027</v>
      </c>
      <c r="C479">
        <v>116</v>
      </c>
      <c r="D479">
        <v>188</v>
      </c>
      <c r="E479">
        <v>164</v>
      </c>
      <c r="F479" s="1">
        <v>8042</v>
      </c>
      <c r="G479">
        <v>359</v>
      </c>
      <c r="H479">
        <f t="shared" si="36"/>
        <v>0.87234042553191493</v>
      </c>
      <c r="I479">
        <f t="shared" si="37"/>
        <v>4.4640636657547875E-2</v>
      </c>
      <c r="J479">
        <f t="shared" si="38"/>
        <v>-243</v>
      </c>
      <c r="K479" t="str">
        <f t="shared" si="39"/>
        <v>Apr-2027</v>
      </c>
    </row>
    <row r="480" spans="1:11" x14ac:dyDescent="0.3">
      <c r="A480" s="3">
        <v>46490</v>
      </c>
      <c r="B480" s="2" t="str">
        <f t="shared" si="35"/>
        <v>Apr-2027</v>
      </c>
      <c r="C480">
        <v>80</v>
      </c>
      <c r="D480">
        <v>176</v>
      </c>
      <c r="E480">
        <v>125</v>
      </c>
      <c r="F480" s="1">
        <v>8072</v>
      </c>
      <c r="G480">
        <v>353</v>
      </c>
      <c r="H480">
        <f t="shared" si="36"/>
        <v>0.71022727272727271</v>
      </c>
      <c r="I480">
        <f t="shared" si="37"/>
        <v>4.373141724479683E-2</v>
      </c>
      <c r="J480">
        <f t="shared" si="38"/>
        <v>-273</v>
      </c>
      <c r="K480" t="str">
        <f t="shared" si="39"/>
        <v>Apr-2027</v>
      </c>
    </row>
    <row r="481" spans="1:11" x14ac:dyDescent="0.3">
      <c r="A481" s="3">
        <v>46491</v>
      </c>
      <c r="B481" s="2" t="str">
        <f t="shared" si="35"/>
        <v>Apr-2027</v>
      </c>
      <c r="C481">
        <v>32</v>
      </c>
      <c r="D481">
        <v>49</v>
      </c>
      <c r="E481">
        <v>39</v>
      </c>
      <c r="F481" s="1">
        <v>8133</v>
      </c>
      <c r="G481">
        <v>188</v>
      </c>
      <c r="H481">
        <f t="shared" si="36"/>
        <v>0.79591836734693877</v>
      </c>
      <c r="I481">
        <f t="shared" si="37"/>
        <v>2.311570146317472E-2</v>
      </c>
      <c r="J481">
        <f t="shared" si="38"/>
        <v>-156</v>
      </c>
      <c r="K481" t="str">
        <f t="shared" si="39"/>
        <v>Apr-2027</v>
      </c>
    </row>
    <row r="482" spans="1:11" x14ac:dyDescent="0.3">
      <c r="A482" s="3">
        <v>46492</v>
      </c>
      <c r="B482" s="2" t="str">
        <f t="shared" si="35"/>
        <v>Apr-2027</v>
      </c>
      <c r="C482">
        <v>33</v>
      </c>
      <c r="D482">
        <v>53</v>
      </c>
      <c r="E482">
        <v>34</v>
      </c>
      <c r="F482" s="1">
        <v>8033</v>
      </c>
      <c r="G482">
        <v>234</v>
      </c>
      <c r="H482">
        <f t="shared" si="36"/>
        <v>0.64150943396226412</v>
      </c>
      <c r="I482">
        <f t="shared" si="37"/>
        <v>2.9129839412423753E-2</v>
      </c>
      <c r="J482">
        <f t="shared" si="38"/>
        <v>-201</v>
      </c>
      <c r="K482" t="str">
        <f t="shared" si="39"/>
        <v>Apr-2027</v>
      </c>
    </row>
    <row r="483" spans="1:11" x14ac:dyDescent="0.3">
      <c r="A483" s="3">
        <v>46493</v>
      </c>
      <c r="B483" s="2" t="str">
        <f t="shared" si="35"/>
        <v>Apr-2027</v>
      </c>
      <c r="C483">
        <v>29</v>
      </c>
      <c r="D483">
        <v>51</v>
      </c>
      <c r="E483">
        <v>11</v>
      </c>
      <c r="F483" s="1">
        <v>8829</v>
      </c>
      <c r="G483">
        <v>476</v>
      </c>
      <c r="H483">
        <f t="shared" si="36"/>
        <v>0.21568627450980393</v>
      </c>
      <c r="I483">
        <f t="shared" si="37"/>
        <v>5.3913240457582966E-2</v>
      </c>
      <c r="J483">
        <f t="shared" si="38"/>
        <v>-447</v>
      </c>
      <c r="K483" t="str">
        <f t="shared" si="39"/>
        <v>Apr-2027</v>
      </c>
    </row>
    <row r="484" spans="1:11" x14ac:dyDescent="0.3">
      <c r="A484" s="3">
        <v>46494</v>
      </c>
      <c r="B484" s="2" t="str">
        <f t="shared" si="35"/>
        <v>Apr-2027</v>
      </c>
      <c r="C484">
        <v>91</v>
      </c>
      <c r="D484">
        <v>75</v>
      </c>
      <c r="E484">
        <v>97</v>
      </c>
      <c r="F484" s="1">
        <v>9144</v>
      </c>
      <c r="G484">
        <v>349</v>
      </c>
      <c r="H484">
        <f t="shared" si="36"/>
        <v>1.2933333333333332</v>
      </c>
      <c r="I484">
        <f t="shared" si="37"/>
        <v>3.8167104111986004E-2</v>
      </c>
      <c r="J484">
        <f t="shared" si="38"/>
        <v>-258</v>
      </c>
      <c r="K484" t="str">
        <f t="shared" si="39"/>
        <v>Apr-2027</v>
      </c>
    </row>
    <row r="485" spans="1:11" x14ac:dyDescent="0.3">
      <c r="A485" s="3">
        <v>46495</v>
      </c>
      <c r="B485" s="2" t="str">
        <f t="shared" si="35"/>
        <v>Apr-2027</v>
      </c>
      <c r="C485">
        <v>62</v>
      </c>
      <c r="D485">
        <v>97</v>
      </c>
      <c r="E485">
        <v>52</v>
      </c>
      <c r="F485" s="1">
        <v>9311</v>
      </c>
      <c r="G485">
        <v>286</v>
      </c>
      <c r="H485">
        <f t="shared" si="36"/>
        <v>0.53608247422680411</v>
      </c>
      <c r="I485">
        <f t="shared" si="37"/>
        <v>3.0716356997100205E-2</v>
      </c>
      <c r="J485">
        <f t="shared" si="38"/>
        <v>-224</v>
      </c>
      <c r="K485" t="str">
        <f t="shared" si="39"/>
        <v>Apr-2027</v>
      </c>
    </row>
    <row r="486" spans="1:11" x14ac:dyDescent="0.3">
      <c r="A486" s="3">
        <v>46496</v>
      </c>
      <c r="B486" s="2" t="str">
        <f t="shared" si="35"/>
        <v>Apr-2027</v>
      </c>
      <c r="C486">
        <v>59</v>
      </c>
      <c r="D486">
        <v>64</v>
      </c>
      <c r="E486">
        <v>117</v>
      </c>
      <c r="F486" s="1">
        <v>9670</v>
      </c>
      <c r="G486">
        <v>367</v>
      </c>
      <c r="H486">
        <f t="shared" si="36"/>
        <v>1.828125</v>
      </c>
      <c r="I486">
        <f t="shared" si="37"/>
        <v>3.795243019648397E-2</v>
      </c>
      <c r="J486">
        <f t="shared" si="38"/>
        <v>-308</v>
      </c>
      <c r="K486" t="str">
        <f t="shared" si="39"/>
        <v>Apr-2027</v>
      </c>
    </row>
    <row r="487" spans="1:11" x14ac:dyDescent="0.3">
      <c r="A487" s="3">
        <v>46497</v>
      </c>
      <c r="B487" s="2" t="str">
        <f t="shared" si="35"/>
        <v>Apr-2027</v>
      </c>
      <c r="C487">
        <v>84</v>
      </c>
      <c r="D487">
        <v>118</v>
      </c>
      <c r="E487">
        <v>136</v>
      </c>
      <c r="F487" s="1">
        <v>9670</v>
      </c>
      <c r="G487">
        <v>367</v>
      </c>
      <c r="H487">
        <f t="shared" si="36"/>
        <v>1.152542372881356</v>
      </c>
      <c r="I487">
        <f t="shared" si="37"/>
        <v>3.795243019648397E-2</v>
      </c>
      <c r="J487">
        <f t="shared" si="38"/>
        <v>-283</v>
      </c>
      <c r="K487" t="str">
        <f t="shared" si="39"/>
        <v>Apr-2027</v>
      </c>
    </row>
    <row r="488" spans="1:11" x14ac:dyDescent="0.3">
      <c r="A488" s="3">
        <v>46498</v>
      </c>
      <c r="B488" s="2" t="str">
        <f t="shared" si="35"/>
        <v>Apr-2027</v>
      </c>
      <c r="C488">
        <v>86</v>
      </c>
      <c r="D488">
        <v>152</v>
      </c>
      <c r="E488">
        <v>168</v>
      </c>
      <c r="F488" s="1">
        <v>10558</v>
      </c>
      <c r="G488">
        <v>362</v>
      </c>
      <c r="H488">
        <f t="shared" si="36"/>
        <v>1.1052631578947369</v>
      </c>
      <c r="I488">
        <f t="shared" si="37"/>
        <v>3.4286796741807159E-2</v>
      </c>
      <c r="J488">
        <f t="shared" si="38"/>
        <v>-276</v>
      </c>
      <c r="K488" t="str">
        <f t="shared" si="39"/>
        <v>Apr-2027</v>
      </c>
    </row>
    <row r="489" spans="1:11" x14ac:dyDescent="0.3">
      <c r="A489" s="3">
        <v>46499</v>
      </c>
      <c r="B489" s="2" t="str">
        <f t="shared" si="35"/>
        <v>Apr-2027</v>
      </c>
      <c r="C489">
        <v>106</v>
      </c>
      <c r="D489">
        <v>196</v>
      </c>
      <c r="E489">
        <v>131</v>
      </c>
      <c r="F489" s="1">
        <v>10718</v>
      </c>
      <c r="G489">
        <v>263</v>
      </c>
      <c r="H489">
        <f t="shared" si="36"/>
        <v>0.66836734693877553</v>
      </c>
      <c r="I489">
        <f t="shared" si="37"/>
        <v>2.4538160104497109E-2</v>
      </c>
      <c r="J489">
        <f t="shared" si="38"/>
        <v>-157</v>
      </c>
      <c r="K489" t="str">
        <f t="shared" si="39"/>
        <v>Apr-2027</v>
      </c>
    </row>
    <row r="490" spans="1:11" x14ac:dyDescent="0.3">
      <c r="A490" s="3">
        <v>46500</v>
      </c>
      <c r="B490" s="2" t="str">
        <f t="shared" si="35"/>
        <v>Apr-2027</v>
      </c>
      <c r="C490">
        <v>113</v>
      </c>
      <c r="D490">
        <v>162</v>
      </c>
      <c r="E490">
        <v>107</v>
      </c>
      <c r="F490" s="1">
        <v>10770</v>
      </c>
      <c r="G490">
        <v>316</v>
      </c>
      <c r="H490">
        <f t="shared" si="36"/>
        <v>0.66049382716049387</v>
      </c>
      <c r="I490">
        <f t="shared" si="37"/>
        <v>2.9340761374187559E-2</v>
      </c>
      <c r="J490">
        <f t="shared" si="38"/>
        <v>-203</v>
      </c>
      <c r="K490" t="str">
        <f t="shared" si="39"/>
        <v>Apr-2027</v>
      </c>
    </row>
    <row r="491" spans="1:11" x14ac:dyDescent="0.3">
      <c r="A491" s="3">
        <v>46501</v>
      </c>
      <c r="B491" s="2" t="str">
        <f t="shared" si="35"/>
        <v>Apr-2027</v>
      </c>
      <c r="C491">
        <v>92</v>
      </c>
      <c r="D491">
        <v>124</v>
      </c>
      <c r="E491">
        <v>93</v>
      </c>
      <c r="F491" s="1">
        <v>10870</v>
      </c>
      <c r="G491">
        <v>290</v>
      </c>
      <c r="H491">
        <f t="shared" si="36"/>
        <v>0.75</v>
      </c>
      <c r="I491">
        <f t="shared" si="37"/>
        <v>2.6678932842686291E-2</v>
      </c>
      <c r="J491">
        <f t="shared" si="38"/>
        <v>-198</v>
      </c>
      <c r="K491" t="str">
        <f t="shared" si="39"/>
        <v>Apr-2027</v>
      </c>
    </row>
    <row r="492" spans="1:11" x14ac:dyDescent="0.3">
      <c r="A492" s="3">
        <v>46502</v>
      </c>
      <c r="B492" s="2" t="str">
        <f t="shared" si="35"/>
        <v>Apr-2027</v>
      </c>
      <c r="C492">
        <v>68</v>
      </c>
      <c r="D492">
        <v>107</v>
      </c>
      <c r="E492">
        <v>102</v>
      </c>
      <c r="F492" s="1">
        <v>11230</v>
      </c>
      <c r="G492">
        <v>357</v>
      </c>
      <c r="H492">
        <f t="shared" si="36"/>
        <v>0.95327102803738317</v>
      </c>
      <c r="I492">
        <f t="shared" si="37"/>
        <v>3.1789848619768475E-2</v>
      </c>
      <c r="J492">
        <f t="shared" si="38"/>
        <v>-289</v>
      </c>
      <c r="K492" t="str">
        <f t="shared" si="39"/>
        <v>Apr-2027</v>
      </c>
    </row>
    <row r="493" spans="1:11" x14ac:dyDescent="0.3">
      <c r="A493" s="3">
        <v>46503</v>
      </c>
      <c r="B493" s="2" t="str">
        <f t="shared" si="35"/>
        <v>Apr-2027</v>
      </c>
      <c r="C493">
        <v>74</v>
      </c>
      <c r="D493">
        <v>103</v>
      </c>
      <c r="E493">
        <v>80</v>
      </c>
      <c r="F493" s="1">
        <v>11206</v>
      </c>
      <c r="G493">
        <v>335</v>
      </c>
      <c r="H493">
        <f t="shared" si="36"/>
        <v>0.77669902912621358</v>
      </c>
      <c r="I493">
        <f t="shared" si="37"/>
        <v>2.9894699268249152E-2</v>
      </c>
      <c r="J493">
        <f t="shared" si="38"/>
        <v>-261</v>
      </c>
      <c r="K493" t="str">
        <f t="shared" si="39"/>
        <v>Apr-2027</v>
      </c>
    </row>
    <row r="494" spans="1:11" x14ac:dyDescent="0.3">
      <c r="A494" s="3">
        <v>46504</v>
      </c>
      <c r="B494" s="2" t="str">
        <f t="shared" si="35"/>
        <v>Apr-2027</v>
      </c>
      <c r="C494">
        <v>56</v>
      </c>
      <c r="D494">
        <v>82</v>
      </c>
      <c r="E494">
        <v>68</v>
      </c>
      <c r="F494" s="1">
        <v>11217</v>
      </c>
      <c r="G494">
        <v>288</v>
      </c>
      <c r="H494">
        <f t="shared" si="36"/>
        <v>0.82926829268292679</v>
      </c>
      <c r="I494">
        <f t="shared" si="37"/>
        <v>2.5675314255148435E-2</v>
      </c>
      <c r="J494">
        <f t="shared" si="38"/>
        <v>-232</v>
      </c>
      <c r="K494" t="str">
        <f t="shared" si="39"/>
        <v>Apr-2027</v>
      </c>
    </row>
    <row r="495" spans="1:11" x14ac:dyDescent="0.3">
      <c r="A495" s="3">
        <v>46505</v>
      </c>
      <c r="B495" s="2" t="str">
        <f t="shared" si="35"/>
        <v>Apr-2027</v>
      </c>
      <c r="C495">
        <v>90</v>
      </c>
      <c r="D495">
        <v>196</v>
      </c>
      <c r="E495">
        <v>205</v>
      </c>
      <c r="F495" s="1">
        <v>11144</v>
      </c>
      <c r="G495">
        <v>347</v>
      </c>
      <c r="H495">
        <f t="shared" si="36"/>
        <v>1.0459183673469388</v>
      </c>
      <c r="I495">
        <f t="shared" si="37"/>
        <v>3.1137832017229004E-2</v>
      </c>
      <c r="J495">
        <f t="shared" si="38"/>
        <v>-257</v>
      </c>
      <c r="K495" t="str">
        <f t="shared" si="39"/>
        <v>Apr-2027</v>
      </c>
    </row>
    <row r="496" spans="1:11" x14ac:dyDescent="0.3">
      <c r="A496" s="3">
        <v>46506</v>
      </c>
      <c r="B496" s="2" t="str">
        <f t="shared" si="35"/>
        <v>Apr-2027</v>
      </c>
      <c r="C496">
        <v>128</v>
      </c>
      <c r="D496">
        <v>228</v>
      </c>
      <c r="E496">
        <v>177</v>
      </c>
      <c r="F496" s="1">
        <v>11375</v>
      </c>
      <c r="G496">
        <v>497</v>
      </c>
      <c r="H496">
        <f t="shared" si="36"/>
        <v>0.77631578947368418</v>
      </c>
      <c r="I496">
        <f t="shared" si="37"/>
        <v>4.369230769230769E-2</v>
      </c>
      <c r="J496">
        <f t="shared" si="38"/>
        <v>-369</v>
      </c>
      <c r="K496" t="str">
        <f t="shared" si="39"/>
        <v>Apr-2027</v>
      </c>
    </row>
    <row r="497" spans="1:11" x14ac:dyDescent="0.3">
      <c r="A497" s="3">
        <v>46507</v>
      </c>
      <c r="B497" s="2" t="str">
        <f t="shared" si="35"/>
        <v>Apr-2027</v>
      </c>
      <c r="C497">
        <v>136</v>
      </c>
      <c r="D497">
        <v>246</v>
      </c>
      <c r="E497">
        <v>123</v>
      </c>
      <c r="F497" s="1">
        <v>11516</v>
      </c>
      <c r="G497">
        <v>390</v>
      </c>
      <c r="H497">
        <f t="shared" si="36"/>
        <v>0.5</v>
      </c>
      <c r="I497">
        <f t="shared" si="37"/>
        <v>3.3865925668634944E-2</v>
      </c>
      <c r="J497">
        <f t="shared" si="38"/>
        <v>-254</v>
      </c>
      <c r="K497" t="str">
        <f t="shared" si="39"/>
        <v>Apr-2027</v>
      </c>
    </row>
    <row r="498" spans="1:11" x14ac:dyDescent="0.3">
      <c r="A498" s="3">
        <v>46508</v>
      </c>
      <c r="B498" s="2" t="str">
        <f t="shared" si="35"/>
        <v>May-2027</v>
      </c>
      <c r="C498">
        <v>105</v>
      </c>
      <c r="D498">
        <v>185</v>
      </c>
      <c r="E498">
        <v>158</v>
      </c>
      <c r="F498" s="1">
        <v>11291</v>
      </c>
      <c r="G498">
        <v>272</v>
      </c>
      <c r="H498">
        <f t="shared" si="36"/>
        <v>0.8540540540540541</v>
      </c>
      <c r="I498">
        <f t="shared" si="37"/>
        <v>2.4089983172438226E-2</v>
      </c>
      <c r="J498">
        <f t="shared" si="38"/>
        <v>-167</v>
      </c>
      <c r="K498" t="str">
        <f t="shared" si="39"/>
        <v>May-2027</v>
      </c>
    </row>
    <row r="499" spans="1:11" x14ac:dyDescent="0.3">
      <c r="A499" s="3">
        <v>46509</v>
      </c>
      <c r="B499" s="2" t="str">
        <f t="shared" si="35"/>
        <v>May-2027</v>
      </c>
      <c r="C499">
        <v>116</v>
      </c>
      <c r="D499">
        <v>188</v>
      </c>
      <c r="E499">
        <v>164</v>
      </c>
      <c r="F499" s="1">
        <v>11149</v>
      </c>
      <c r="G499">
        <v>364</v>
      </c>
      <c r="H499">
        <f t="shared" si="36"/>
        <v>0.87234042553191493</v>
      </c>
      <c r="I499">
        <f t="shared" si="37"/>
        <v>3.2648668041976858E-2</v>
      </c>
      <c r="J499">
        <f t="shared" si="38"/>
        <v>-248</v>
      </c>
      <c r="K499" t="str">
        <f t="shared" si="39"/>
        <v>May-2027</v>
      </c>
    </row>
    <row r="500" spans="1:11" x14ac:dyDescent="0.3">
      <c r="A500" s="3">
        <v>46510</v>
      </c>
      <c r="B500" s="2" t="str">
        <f t="shared" si="35"/>
        <v>May-2027</v>
      </c>
      <c r="C500">
        <v>80</v>
      </c>
      <c r="D500">
        <v>176</v>
      </c>
      <c r="E500">
        <v>125</v>
      </c>
      <c r="F500" s="1">
        <v>11092</v>
      </c>
      <c r="G500">
        <v>456</v>
      </c>
      <c r="H500">
        <f t="shared" si="36"/>
        <v>0.71022727272727271</v>
      </c>
      <c r="I500">
        <f t="shared" si="37"/>
        <v>4.1110710421925711E-2</v>
      </c>
      <c r="J500">
        <f t="shared" si="38"/>
        <v>-376</v>
      </c>
      <c r="K500" t="str">
        <f t="shared" si="39"/>
        <v>May-2027</v>
      </c>
    </row>
    <row r="501" spans="1:11" x14ac:dyDescent="0.3">
      <c r="A501" s="3">
        <v>46511</v>
      </c>
      <c r="B501" s="2" t="str">
        <f t="shared" si="35"/>
        <v>May-2027</v>
      </c>
      <c r="C501">
        <v>150</v>
      </c>
      <c r="D501">
        <v>157</v>
      </c>
      <c r="E501">
        <v>201</v>
      </c>
      <c r="F501" s="1">
        <v>11242</v>
      </c>
      <c r="G501">
        <v>396</v>
      </c>
      <c r="H501">
        <f t="shared" si="36"/>
        <v>1.2802547770700636</v>
      </c>
      <c r="I501">
        <f t="shared" si="37"/>
        <v>3.5225048923679059E-2</v>
      </c>
      <c r="J501">
        <f t="shared" si="38"/>
        <v>-246</v>
      </c>
      <c r="K501" t="str">
        <f t="shared" si="39"/>
        <v>May-2027</v>
      </c>
    </row>
    <row r="502" spans="1:11" x14ac:dyDescent="0.3">
      <c r="A502" s="3">
        <v>46512</v>
      </c>
      <c r="B502" s="2" t="str">
        <f t="shared" si="35"/>
        <v>May-2027</v>
      </c>
      <c r="C502">
        <v>116</v>
      </c>
      <c r="D502">
        <v>181</v>
      </c>
      <c r="E502">
        <v>182</v>
      </c>
      <c r="F502" s="1">
        <v>11192</v>
      </c>
      <c r="G502">
        <v>335</v>
      </c>
      <c r="H502">
        <f t="shared" si="36"/>
        <v>1.0055248618784531</v>
      </c>
      <c r="I502">
        <f t="shared" si="37"/>
        <v>2.9932094353109364E-2</v>
      </c>
      <c r="J502">
        <f t="shared" si="38"/>
        <v>-219</v>
      </c>
      <c r="K502" t="str">
        <f t="shared" si="39"/>
        <v>May-2027</v>
      </c>
    </row>
    <row r="503" spans="1:11" x14ac:dyDescent="0.3">
      <c r="A503" s="3">
        <v>46513</v>
      </c>
      <c r="B503" s="2" t="str">
        <f t="shared" si="35"/>
        <v>May-2027</v>
      </c>
      <c r="C503">
        <v>141</v>
      </c>
      <c r="D503">
        <v>173</v>
      </c>
      <c r="E503">
        <v>129</v>
      </c>
      <c r="F503" s="1">
        <v>11077</v>
      </c>
      <c r="G503">
        <v>259</v>
      </c>
      <c r="H503">
        <f t="shared" si="36"/>
        <v>0.74566473988439308</v>
      </c>
      <c r="I503">
        <f t="shared" si="37"/>
        <v>2.3381782070957841E-2</v>
      </c>
      <c r="J503">
        <f t="shared" si="38"/>
        <v>-118</v>
      </c>
      <c r="K503" t="str">
        <f t="shared" si="39"/>
        <v>May-2027</v>
      </c>
    </row>
    <row r="504" spans="1:11" x14ac:dyDescent="0.3">
      <c r="A504" s="3">
        <v>46514</v>
      </c>
      <c r="B504" s="2" t="str">
        <f t="shared" si="35"/>
        <v>May-2027</v>
      </c>
      <c r="C504">
        <v>96</v>
      </c>
      <c r="D504">
        <v>160</v>
      </c>
      <c r="E504">
        <v>233</v>
      </c>
      <c r="F504" s="1">
        <v>10998</v>
      </c>
      <c r="G504">
        <v>304</v>
      </c>
      <c r="H504">
        <f t="shared" si="36"/>
        <v>1.45625</v>
      </c>
      <c r="I504">
        <f t="shared" si="37"/>
        <v>2.7641389343517002E-2</v>
      </c>
      <c r="J504">
        <f t="shared" si="38"/>
        <v>-208</v>
      </c>
      <c r="K504" t="str">
        <f t="shared" si="39"/>
        <v>May-2027</v>
      </c>
    </row>
    <row r="505" spans="1:11" x14ac:dyDescent="0.3">
      <c r="A505" s="3">
        <v>46515</v>
      </c>
      <c r="B505" s="2" t="str">
        <f t="shared" si="35"/>
        <v>May-2027</v>
      </c>
      <c r="C505">
        <v>158</v>
      </c>
      <c r="D505">
        <v>226</v>
      </c>
      <c r="E505">
        <v>191</v>
      </c>
      <c r="F505" s="1">
        <v>10871</v>
      </c>
      <c r="G505">
        <v>411</v>
      </c>
      <c r="H505">
        <f t="shared" si="36"/>
        <v>0.84513274336283184</v>
      </c>
      <c r="I505">
        <f t="shared" si="37"/>
        <v>3.7807009474749333E-2</v>
      </c>
      <c r="J505">
        <f t="shared" si="38"/>
        <v>-253</v>
      </c>
      <c r="K505" t="str">
        <f t="shared" si="39"/>
        <v>May-2027</v>
      </c>
    </row>
    <row r="506" spans="1:11" x14ac:dyDescent="0.3">
      <c r="A506" s="3">
        <v>46516</v>
      </c>
      <c r="B506" s="2" t="str">
        <f t="shared" si="35"/>
        <v>May-2027</v>
      </c>
      <c r="C506">
        <v>141</v>
      </c>
      <c r="D506">
        <v>232</v>
      </c>
      <c r="E506">
        <v>188</v>
      </c>
      <c r="F506" s="1">
        <v>10897</v>
      </c>
      <c r="G506">
        <v>466</v>
      </c>
      <c r="H506">
        <f t="shared" si="36"/>
        <v>0.81034482758620685</v>
      </c>
      <c r="I506">
        <f t="shared" si="37"/>
        <v>4.2764063503716622E-2</v>
      </c>
      <c r="J506">
        <f t="shared" si="38"/>
        <v>-325</v>
      </c>
      <c r="K506" t="str">
        <f t="shared" si="39"/>
        <v>May-2027</v>
      </c>
    </row>
    <row r="507" spans="1:11" x14ac:dyDescent="0.3">
      <c r="A507" s="3">
        <v>46517</v>
      </c>
      <c r="B507" s="2" t="str">
        <f t="shared" si="35"/>
        <v>May-2027</v>
      </c>
      <c r="C507">
        <v>123</v>
      </c>
      <c r="D507">
        <v>233</v>
      </c>
      <c r="E507">
        <v>159</v>
      </c>
      <c r="F507" s="1">
        <v>10832</v>
      </c>
      <c r="G507">
        <v>376</v>
      </c>
      <c r="H507">
        <f t="shared" si="36"/>
        <v>0.68240343347639487</v>
      </c>
      <c r="I507">
        <f t="shared" si="37"/>
        <v>3.4711964549483013E-2</v>
      </c>
      <c r="J507">
        <f t="shared" si="38"/>
        <v>-253</v>
      </c>
      <c r="K507" t="str">
        <f t="shared" si="39"/>
        <v>May-2027</v>
      </c>
    </row>
    <row r="508" spans="1:11" x14ac:dyDescent="0.3">
      <c r="A508" s="3">
        <v>46518</v>
      </c>
      <c r="B508" s="2" t="str">
        <f t="shared" si="35"/>
        <v>May-2027</v>
      </c>
      <c r="C508">
        <v>123</v>
      </c>
      <c r="D508">
        <v>230</v>
      </c>
      <c r="E508">
        <v>167</v>
      </c>
      <c r="F508" s="1">
        <v>10761</v>
      </c>
      <c r="G508">
        <v>261</v>
      </c>
      <c r="H508">
        <f t="shared" si="36"/>
        <v>0.72608695652173916</v>
      </c>
      <c r="I508">
        <f t="shared" si="37"/>
        <v>2.4254251463618624E-2</v>
      </c>
      <c r="J508">
        <f t="shared" si="38"/>
        <v>-138</v>
      </c>
      <c r="K508" t="str">
        <f t="shared" si="39"/>
        <v>May-2027</v>
      </c>
    </row>
    <row r="509" spans="1:11" x14ac:dyDescent="0.3">
      <c r="A509" s="3">
        <v>46519</v>
      </c>
      <c r="B509" s="2" t="str">
        <f t="shared" si="35"/>
        <v>May-2027</v>
      </c>
      <c r="C509">
        <v>174</v>
      </c>
      <c r="D509">
        <v>208</v>
      </c>
      <c r="E509">
        <v>256</v>
      </c>
      <c r="F509" s="1">
        <v>10635</v>
      </c>
      <c r="G509">
        <v>273</v>
      </c>
      <c r="H509">
        <f t="shared" si="36"/>
        <v>1.2307692307692308</v>
      </c>
      <c r="I509">
        <f t="shared" si="37"/>
        <v>2.5669957686882933E-2</v>
      </c>
      <c r="J509">
        <f t="shared" si="38"/>
        <v>-99</v>
      </c>
      <c r="K509" t="str">
        <f t="shared" si="39"/>
        <v>May-2027</v>
      </c>
    </row>
    <row r="510" spans="1:11" x14ac:dyDescent="0.3">
      <c r="A510" s="3">
        <v>46520</v>
      </c>
      <c r="B510" s="2" t="str">
        <f t="shared" si="35"/>
        <v>May-2027</v>
      </c>
      <c r="C510">
        <v>132</v>
      </c>
      <c r="D510">
        <v>235</v>
      </c>
      <c r="E510">
        <v>197</v>
      </c>
      <c r="F510" s="1">
        <v>10579</v>
      </c>
      <c r="G510">
        <v>417</v>
      </c>
      <c r="H510">
        <f t="shared" si="36"/>
        <v>0.83829787234042552</v>
      </c>
      <c r="I510">
        <f t="shared" si="37"/>
        <v>3.9417714339729654E-2</v>
      </c>
      <c r="J510">
        <f t="shared" si="38"/>
        <v>-285</v>
      </c>
      <c r="K510" t="str">
        <f t="shared" si="39"/>
        <v>May-2027</v>
      </c>
    </row>
    <row r="511" spans="1:11" x14ac:dyDescent="0.3">
      <c r="A511" s="3">
        <v>46521</v>
      </c>
      <c r="B511" s="2" t="str">
        <f t="shared" si="35"/>
        <v>May-2027</v>
      </c>
      <c r="C511">
        <v>92</v>
      </c>
      <c r="D511">
        <v>124</v>
      </c>
      <c r="E511">
        <v>93</v>
      </c>
      <c r="F511" s="1">
        <v>10536</v>
      </c>
      <c r="G511">
        <v>320</v>
      </c>
      <c r="H511">
        <f t="shared" si="36"/>
        <v>0.75</v>
      </c>
      <c r="I511">
        <f t="shared" si="37"/>
        <v>3.0372057706909643E-2</v>
      </c>
      <c r="J511">
        <f t="shared" si="38"/>
        <v>-228</v>
      </c>
      <c r="K511" t="str">
        <f t="shared" si="39"/>
        <v>May-2027</v>
      </c>
    </row>
    <row r="512" spans="1:11" x14ac:dyDescent="0.3">
      <c r="A512" s="3">
        <v>46522</v>
      </c>
      <c r="B512" s="2" t="str">
        <f t="shared" si="35"/>
        <v>May-2027</v>
      </c>
      <c r="C512">
        <v>68</v>
      </c>
      <c r="D512">
        <v>107</v>
      </c>
      <c r="E512">
        <v>102</v>
      </c>
      <c r="F512" s="1">
        <v>10398</v>
      </c>
      <c r="G512">
        <v>284</v>
      </c>
      <c r="H512">
        <f t="shared" si="36"/>
        <v>0.95327102803738317</v>
      </c>
      <c r="I512">
        <f t="shared" si="37"/>
        <v>2.7312944797076362E-2</v>
      </c>
      <c r="J512">
        <f t="shared" si="38"/>
        <v>-216</v>
      </c>
      <c r="K512" t="str">
        <f t="shared" si="39"/>
        <v>May-2027</v>
      </c>
    </row>
    <row r="513" spans="1:11" x14ac:dyDescent="0.3">
      <c r="A513" s="3">
        <v>46523</v>
      </c>
      <c r="B513" s="2" t="str">
        <f t="shared" si="35"/>
        <v>May-2027</v>
      </c>
      <c r="C513">
        <v>74</v>
      </c>
      <c r="D513">
        <v>103</v>
      </c>
      <c r="E513">
        <v>80</v>
      </c>
      <c r="F513" s="1">
        <v>10223</v>
      </c>
      <c r="G513">
        <v>223</v>
      </c>
      <c r="H513">
        <f t="shared" si="36"/>
        <v>0.77669902912621358</v>
      </c>
      <c r="I513">
        <f t="shared" si="37"/>
        <v>2.1813557664090776E-2</v>
      </c>
      <c r="J513">
        <f t="shared" si="38"/>
        <v>-149</v>
      </c>
      <c r="K513" t="str">
        <f t="shared" si="39"/>
        <v>May-2027</v>
      </c>
    </row>
    <row r="514" spans="1:11" x14ac:dyDescent="0.3">
      <c r="A514" s="3">
        <v>46524</v>
      </c>
      <c r="B514" s="2" t="str">
        <f t="shared" si="35"/>
        <v>May-2027</v>
      </c>
      <c r="C514">
        <v>56</v>
      </c>
      <c r="D514">
        <v>82</v>
      </c>
      <c r="E514">
        <v>68</v>
      </c>
      <c r="F514" s="1">
        <v>10123</v>
      </c>
      <c r="G514">
        <v>214</v>
      </c>
      <c r="H514">
        <f t="shared" si="36"/>
        <v>0.82926829268292679</v>
      </c>
      <c r="I514">
        <f t="shared" si="37"/>
        <v>2.1139978267312062E-2</v>
      </c>
      <c r="J514">
        <f t="shared" si="38"/>
        <v>-158</v>
      </c>
      <c r="K514" t="str">
        <f t="shared" si="39"/>
        <v>May-2027</v>
      </c>
    </row>
    <row r="515" spans="1:11" x14ac:dyDescent="0.3">
      <c r="A515" s="3">
        <v>46525</v>
      </c>
      <c r="B515" s="2" t="str">
        <f t="shared" ref="B515:B578" si="40">TEXT(A515,"mmm-yyyy")</f>
        <v>May-2027</v>
      </c>
      <c r="C515">
        <v>90</v>
      </c>
      <c r="D515">
        <v>196</v>
      </c>
      <c r="E515">
        <v>205</v>
      </c>
      <c r="F515" s="1">
        <v>9845</v>
      </c>
      <c r="G515">
        <v>312</v>
      </c>
      <c r="H515">
        <f t="shared" ref="H515:H578" si="41">E515/D515</f>
        <v>1.0459183673469388</v>
      </c>
      <c r="I515">
        <f t="shared" ref="I515:I578" si="42">G515/F515</f>
        <v>3.1691213814118845E-2</v>
      </c>
      <c r="J515">
        <f t="shared" ref="J515:J578" si="43">C515-G515</f>
        <v>-222</v>
      </c>
      <c r="K515" t="str">
        <f t="shared" ref="K515:K578" si="44">TEXT(A515,"mmm-yyyy")</f>
        <v>May-2027</v>
      </c>
    </row>
    <row r="516" spans="1:11" x14ac:dyDescent="0.3">
      <c r="A516" s="3">
        <v>46526</v>
      </c>
      <c r="B516" s="2" t="str">
        <f t="shared" si="40"/>
        <v>May-2027</v>
      </c>
      <c r="C516">
        <v>128</v>
      </c>
      <c r="D516">
        <v>228</v>
      </c>
      <c r="E516">
        <v>177</v>
      </c>
      <c r="F516" s="1">
        <v>9838</v>
      </c>
      <c r="G516">
        <v>283</v>
      </c>
      <c r="H516">
        <f t="shared" si="41"/>
        <v>0.77631578947368418</v>
      </c>
      <c r="I516">
        <f t="shared" si="42"/>
        <v>2.8766009351494207E-2</v>
      </c>
      <c r="J516">
        <f t="shared" si="43"/>
        <v>-155</v>
      </c>
      <c r="K516" t="str">
        <f t="shared" si="44"/>
        <v>May-2027</v>
      </c>
    </row>
    <row r="517" spans="1:11" x14ac:dyDescent="0.3">
      <c r="A517" s="3">
        <v>46527</v>
      </c>
      <c r="B517" s="2" t="str">
        <f t="shared" si="40"/>
        <v>May-2027</v>
      </c>
      <c r="C517">
        <v>136</v>
      </c>
      <c r="D517">
        <v>246</v>
      </c>
      <c r="E517">
        <v>123</v>
      </c>
      <c r="F517" s="1">
        <v>9804</v>
      </c>
      <c r="G517">
        <v>250</v>
      </c>
      <c r="H517">
        <f t="shared" si="41"/>
        <v>0.5</v>
      </c>
      <c r="I517">
        <f t="shared" si="42"/>
        <v>2.5499796001631988E-2</v>
      </c>
      <c r="J517">
        <f t="shared" si="43"/>
        <v>-114</v>
      </c>
      <c r="K517" t="str">
        <f t="shared" si="44"/>
        <v>May-2027</v>
      </c>
    </row>
    <row r="518" spans="1:11" x14ac:dyDescent="0.3">
      <c r="A518" s="3">
        <v>46528</v>
      </c>
      <c r="B518" s="2" t="str">
        <f t="shared" si="40"/>
        <v>May-2027</v>
      </c>
      <c r="C518">
        <v>105</v>
      </c>
      <c r="D518">
        <v>185</v>
      </c>
      <c r="E518">
        <v>158</v>
      </c>
      <c r="F518" s="1">
        <v>9638</v>
      </c>
      <c r="G518">
        <v>298</v>
      </c>
      <c r="H518">
        <f t="shared" si="41"/>
        <v>0.8540540540540541</v>
      </c>
      <c r="I518">
        <f t="shared" si="42"/>
        <v>3.0919277858476861E-2</v>
      </c>
      <c r="J518">
        <f t="shared" si="43"/>
        <v>-193</v>
      </c>
      <c r="K518" t="str">
        <f t="shared" si="44"/>
        <v>May-2027</v>
      </c>
    </row>
    <row r="519" spans="1:11" x14ac:dyDescent="0.3">
      <c r="A519" s="3">
        <v>46529</v>
      </c>
      <c r="B519" s="2" t="str">
        <f t="shared" si="40"/>
        <v>May-2027</v>
      </c>
      <c r="C519">
        <v>116</v>
      </c>
      <c r="D519">
        <v>188</v>
      </c>
      <c r="E519">
        <v>164</v>
      </c>
      <c r="F519" s="1">
        <v>9573</v>
      </c>
      <c r="G519">
        <v>435</v>
      </c>
      <c r="H519">
        <f t="shared" si="41"/>
        <v>0.87234042553191493</v>
      </c>
      <c r="I519">
        <f t="shared" si="42"/>
        <v>4.5440300846129739E-2</v>
      </c>
      <c r="J519">
        <f t="shared" si="43"/>
        <v>-319</v>
      </c>
      <c r="K519" t="str">
        <f t="shared" si="44"/>
        <v>May-2027</v>
      </c>
    </row>
    <row r="520" spans="1:11" x14ac:dyDescent="0.3">
      <c r="A520" s="3">
        <v>46530</v>
      </c>
      <c r="B520" s="2" t="str">
        <f t="shared" si="40"/>
        <v>May-2027</v>
      </c>
      <c r="C520">
        <v>80</v>
      </c>
      <c r="D520">
        <v>176</v>
      </c>
      <c r="E520">
        <v>125</v>
      </c>
      <c r="F520" s="1">
        <v>9762</v>
      </c>
      <c r="G520">
        <v>374</v>
      </c>
      <c r="H520">
        <f t="shared" si="41"/>
        <v>0.71022727272727271</v>
      </c>
      <c r="I520">
        <f t="shared" si="42"/>
        <v>3.8311821348084411E-2</v>
      </c>
      <c r="J520">
        <f t="shared" si="43"/>
        <v>-294</v>
      </c>
      <c r="K520" t="str">
        <f t="shared" si="44"/>
        <v>May-2027</v>
      </c>
    </row>
    <row r="521" spans="1:11" x14ac:dyDescent="0.3">
      <c r="A521" s="3">
        <v>46531</v>
      </c>
      <c r="B521" s="2" t="str">
        <f t="shared" si="40"/>
        <v>May-2027</v>
      </c>
      <c r="C521">
        <v>150</v>
      </c>
      <c r="D521">
        <v>157</v>
      </c>
      <c r="E521">
        <v>201</v>
      </c>
      <c r="F521" s="1">
        <v>9762</v>
      </c>
      <c r="G521">
        <v>316</v>
      </c>
      <c r="H521">
        <f t="shared" si="41"/>
        <v>1.2802547770700636</v>
      </c>
      <c r="I521">
        <f t="shared" si="42"/>
        <v>3.237041589838148E-2</v>
      </c>
      <c r="J521">
        <f t="shared" si="43"/>
        <v>-166</v>
      </c>
      <c r="K521" t="str">
        <f t="shared" si="44"/>
        <v>May-2027</v>
      </c>
    </row>
    <row r="522" spans="1:11" x14ac:dyDescent="0.3">
      <c r="A522" s="3">
        <v>46532</v>
      </c>
      <c r="B522" s="2" t="str">
        <f t="shared" si="40"/>
        <v>May-2027</v>
      </c>
      <c r="C522">
        <v>116</v>
      </c>
      <c r="D522">
        <v>181</v>
      </c>
      <c r="E522">
        <v>182</v>
      </c>
      <c r="F522" s="1">
        <v>9665</v>
      </c>
      <c r="G522">
        <v>247</v>
      </c>
      <c r="H522">
        <f t="shared" si="41"/>
        <v>1.0055248618784531</v>
      </c>
      <c r="I522">
        <f t="shared" si="42"/>
        <v>2.5556130367304707E-2</v>
      </c>
      <c r="J522">
        <f t="shared" si="43"/>
        <v>-131</v>
      </c>
      <c r="K522" t="str">
        <f t="shared" si="44"/>
        <v>May-2027</v>
      </c>
    </row>
    <row r="523" spans="1:11" x14ac:dyDescent="0.3">
      <c r="A523" s="3">
        <v>46533</v>
      </c>
      <c r="B523" s="2" t="str">
        <f t="shared" si="40"/>
        <v>May-2027</v>
      </c>
      <c r="C523">
        <v>141</v>
      </c>
      <c r="D523">
        <v>173</v>
      </c>
      <c r="E523">
        <v>129</v>
      </c>
      <c r="F523" s="1">
        <v>9510</v>
      </c>
      <c r="G523">
        <v>287</v>
      </c>
      <c r="H523">
        <f t="shared" si="41"/>
        <v>0.74566473988439308</v>
      </c>
      <c r="I523">
        <f t="shared" si="42"/>
        <v>3.0178759200841218E-2</v>
      </c>
      <c r="J523">
        <f t="shared" si="43"/>
        <v>-146</v>
      </c>
      <c r="K523" t="str">
        <f t="shared" si="44"/>
        <v>May-2027</v>
      </c>
    </row>
    <row r="524" spans="1:11" x14ac:dyDescent="0.3">
      <c r="A524" s="3">
        <v>46534</v>
      </c>
      <c r="B524" s="2" t="str">
        <f t="shared" si="40"/>
        <v>May-2027</v>
      </c>
      <c r="C524">
        <v>96</v>
      </c>
      <c r="D524">
        <v>160</v>
      </c>
      <c r="E524">
        <v>233</v>
      </c>
      <c r="F524" s="1">
        <v>9477</v>
      </c>
      <c r="G524">
        <v>313</v>
      </c>
      <c r="H524">
        <f t="shared" si="41"/>
        <v>1.45625</v>
      </c>
      <c r="I524">
        <f t="shared" si="42"/>
        <v>3.302732932362562E-2</v>
      </c>
      <c r="J524">
        <f t="shared" si="43"/>
        <v>-217</v>
      </c>
      <c r="K524" t="str">
        <f t="shared" si="44"/>
        <v>May-2027</v>
      </c>
    </row>
    <row r="525" spans="1:11" x14ac:dyDescent="0.3">
      <c r="A525" s="3">
        <v>46535</v>
      </c>
      <c r="B525" s="2" t="str">
        <f t="shared" si="40"/>
        <v>May-2027</v>
      </c>
      <c r="C525">
        <v>158</v>
      </c>
      <c r="D525">
        <v>226</v>
      </c>
      <c r="E525">
        <v>191</v>
      </c>
      <c r="F525" s="1">
        <v>9634</v>
      </c>
      <c r="G525">
        <v>310</v>
      </c>
      <c r="H525">
        <f t="shared" si="41"/>
        <v>0.84513274336283184</v>
      </c>
      <c r="I525">
        <f t="shared" si="42"/>
        <v>3.2177703965123518E-2</v>
      </c>
      <c r="J525">
        <f t="shared" si="43"/>
        <v>-152</v>
      </c>
      <c r="K525" t="str">
        <f t="shared" si="44"/>
        <v>May-2027</v>
      </c>
    </row>
    <row r="526" spans="1:11" x14ac:dyDescent="0.3">
      <c r="A526" s="3">
        <v>46536</v>
      </c>
      <c r="B526" s="2" t="str">
        <f t="shared" si="40"/>
        <v>May-2027</v>
      </c>
      <c r="C526">
        <v>141</v>
      </c>
      <c r="D526">
        <v>232</v>
      </c>
      <c r="E526">
        <v>188</v>
      </c>
      <c r="F526" s="1">
        <v>9483</v>
      </c>
      <c r="G526">
        <v>231</v>
      </c>
      <c r="H526">
        <f t="shared" si="41"/>
        <v>0.81034482758620685</v>
      </c>
      <c r="I526">
        <f t="shared" si="42"/>
        <v>2.4359379943055995E-2</v>
      </c>
      <c r="J526">
        <f t="shared" si="43"/>
        <v>-90</v>
      </c>
      <c r="K526" t="str">
        <f t="shared" si="44"/>
        <v>May-2027</v>
      </c>
    </row>
    <row r="527" spans="1:11" x14ac:dyDescent="0.3">
      <c r="A527" s="3">
        <v>46537</v>
      </c>
      <c r="B527" s="2" t="str">
        <f t="shared" si="40"/>
        <v>May-2027</v>
      </c>
      <c r="C527">
        <v>123</v>
      </c>
      <c r="D527">
        <v>233</v>
      </c>
      <c r="E527">
        <v>159</v>
      </c>
      <c r="F527" s="1">
        <v>9286</v>
      </c>
      <c r="G527">
        <v>316</v>
      </c>
      <c r="H527">
        <f t="shared" si="41"/>
        <v>0.68240343347639487</v>
      </c>
      <c r="I527">
        <f t="shared" si="42"/>
        <v>3.4029722162395006E-2</v>
      </c>
      <c r="J527">
        <f t="shared" si="43"/>
        <v>-193</v>
      </c>
      <c r="K527" t="str">
        <f t="shared" si="44"/>
        <v>May-2027</v>
      </c>
    </row>
    <row r="528" spans="1:11" x14ac:dyDescent="0.3">
      <c r="A528" s="3">
        <v>46538</v>
      </c>
      <c r="B528" s="2" t="str">
        <f t="shared" si="40"/>
        <v>May-2027</v>
      </c>
      <c r="C528">
        <v>123</v>
      </c>
      <c r="D528">
        <v>230</v>
      </c>
      <c r="E528">
        <v>167</v>
      </c>
      <c r="F528" s="1">
        <v>9273</v>
      </c>
      <c r="G528">
        <v>370</v>
      </c>
      <c r="H528">
        <f t="shared" si="41"/>
        <v>0.72608695652173916</v>
      </c>
      <c r="I528">
        <f t="shared" si="42"/>
        <v>3.9900787231748086E-2</v>
      </c>
      <c r="J528">
        <f t="shared" si="43"/>
        <v>-247</v>
      </c>
      <c r="K528" t="str">
        <f t="shared" si="44"/>
        <v>May-2027</v>
      </c>
    </row>
    <row r="529" spans="1:11" x14ac:dyDescent="0.3">
      <c r="A529" s="3">
        <v>46539</v>
      </c>
      <c r="B529" s="2" t="str">
        <f t="shared" si="40"/>
        <v>Jun-2027</v>
      </c>
      <c r="C529">
        <v>174</v>
      </c>
      <c r="D529">
        <v>208</v>
      </c>
      <c r="E529">
        <v>256</v>
      </c>
      <c r="F529" s="1">
        <v>9442</v>
      </c>
      <c r="G529">
        <v>330</v>
      </c>
      <c r="H529">
        <f t="shared" si="41"/>
        <v>1.2307692307692308</v>
      </c>
      <c r="I529">
        <f t="shared" si="42"/>
        <v>3.495022241050625E-2</v>
      </c>
      <c r="J529">
        <f t="shared" si="43"/>
        <v>-156</v>
      </c>
      <c r="K529" t="str">
        <f t="shared" si="44"/>
        <v>Jun-2027</v>
      </c>
    </row>
    <row r="530" spans="1:11" x14ac:dyDescent="0.3">
      <c r="A530" s="3">
        <v>46540</v>
      </c>
      <c r="B530" s="2" t="str">
        <f t="shared" si="40"/>
        <v>Jun-2027</v>
      </c>
      <c r="C530">
        <v>132</v>
      </c>
      <c r="D530">
        <v>235</v>
      </c>
      <c r="E530">
        <v>197</v>
      </c>
      <c r="F530" s="1">
        <v>9250</v>
      </c>
      <c r="G530">
        <v>279</v>
      </c>
      <c r="H530">
        <f t="shared" si="41"/>
        <v>0.83829787234042552</v>
      </c>
      <c r="I530">
        <f t="shared" si="42"/>
        <v>3.0162162162162161E-2</v>
      </c>
      <c r="J530">
        <f t="shared" si="43"/>
        <v>-147</v>
      </c>
      <c r="K530" t="str">
        <f t="shared" si="44"/>
        <v>Jun-2027</v>
      </c>
    </row>
    <row r="531" spans="1:11" x14ac:dyDescent="0.3">
      <c r="A531" s="3">
        <v>46541</v>
      </c>
      <c r="B531" s="2" t="str">
        <f t="shared" si="40"/>
        <v>Jun-2027</v>
      </c>
      <c r="C531">
        <v>33</v>
      </c>
      <c r="D531">
        <v>53</v>
      </c>
      <c r="E531">
        <v>34</v>
      </c>
      <c r="F531" s="1">
        <v>9072</v>
      </c>
      <c r="G531">
        <v>295</v>
      </c>
      <c r="H531">
        <f t="shared" si="41"/>
        <v>0.64150943396226412</v>
      </c>
      <c r="I531">
        <f t="shared" si="42"/>
        <v>3.2517636684303353E-2</v>
      </c>
      <c r="J531">
        <f t="shared" si="43"/>
        <v>-262</v>
      </c>
      <c r="K531" t="str">
        <f t="shared" si="44"/>
        <v>Jun-2027</v>
      </c>
    </row>
    <row r="532" spans="1:11" x14ac:dyDescent="0.3">
      <c r="A532" s="3">
        <v>46542</v>
      </c>
      <c r="B532" s="2" t="str">
        <f t="shared" si="40"/>
        <v>Jun-2027</v>
      </c>
      <c r="C532">
        <v>29</v>
      </c>
      <c r="D532">
        <v>51</v>
      </c>
      <c r="E532">
        <v>11</v>
      </c>
      <c r="F532" s="1">
        <v>9026</v>
      </c>
      <c r="G532">
        <v>278</v>
      </c>
      <c r="H532">
        <f t="shared" si="41"/>
        <v>0.21568627450980393</v>
      </c>
      <c r="I532">
        <f t="shared" si="42"/>
        <v>3.0799911367161533E-2</v>
      </c>
      <c r="J532">
        <f t="shared" si="43"/>
        <v>-249</v>
      </c>
      <c r="K532" t="str">
        <f t="shared" si="44"/>
        <v>Jun-2027</v>
      </c>
    </row>
    <row r="533" spans="1:11" x14ac:dyDescent="0.3">
      <c r="A533" s="3">
        <v>46543</v>
      </c>
      <c r="B533" s="2" t="str">
        <f t="shared" si="40"/>
        <v>Jun-2027</v>
      </c>
      <c r="C533">
        <v>91</v>
      </c>
      <c r="D533">
        <v>75</v>
      </c>
      <c r="E533">
        <v>97</v>
      </c>
      <c r="F533" s="1">
        <v>8925</v>
      </c>
      <c r="G533">
        <v>418</v>
      </c>
      <c r="H533">
        <f t="shared" si="41"/>
        <v>1.2933333333333332</v>
      </c>
      <c r="I533">
        <f t="shared" si="42"/>
        <v>4.6834733893557426E-2</v>
      </c>
      <c r="J533">
        <f t="shared" si="43"/>
        <v>-327</v>
      </c>
      <c r="K533" t="str">
        <f t="shared" si="44"/>
        <v>Jun-2027</v>
      </c>
    </row>
    <row r="534" spans="1:11" x14ac:dyDescent="0.3">
      <c r="A534" s="3">
        <v>46544</v>
      </c>
      <c r="B534" s="2" t="str">
        <f t="shared" si="40"/>
        <v>Jun-2027</v>
      </c>
      <c r="C534">
        <v>62</v>
      </c>
      <c r="D534">
        <v>97</v>
      </c>
      <c r="E534">
        <v>52</v>
      </c>
      <c r="F534" s="1">
        <v>9235</v>
      </c>
      <c r="G534">
        <v>390</v>
      </c>
      <c r="H534">
        <f t="shared" si="41"/>
        <v>0.53608247422680411</v>
      </c>
      <c r="I534">
        <f t="shared" si="42"/>
        <v>4.2230644288034649E-2</v>
      </c>
      <c r="J534">
        <f t="shared" si="43"/>
        <v>-328</v>
      </c>
      <c r="K534" t="str">
        <f t="shared" si="44"/>
        <v>Jun-2027</v>
      </c>
    </row>
    <row r="535" spans="1:11" x14ac:dyDescent="0.3">
      <c r="A535" s="3">
        <v>46545</v>
      </c>
      <c r="B535" s="2" t="str">
        <f t="shared" si="40"/>
        <v>Jun-2027</v>
      </c>
      <c r="C535">
        <v>59</v>
      </c>
      <c r="D535">
        <v>64</v>
      </c>
      <c r="E535">
        <v>117</v>
      </c>
      <c r="F535" s="1">
        <v>9351</v>
      </c>
      <c r="G535">
        <v>293</v>
      </c>
      <c r="H535">
        <f t="shared" si="41"/>
        <v>1.828125</v>
      </c>
      <c r="I535">
        <f t="shared" si="42"/>
        <v>3.1333547214201687E-2</v>
      </c>
      <c r="J535">
        <f t="shared" si="43"/>
        <v>-234</v>
      </c>
      <c r="K535" t="str">
        <f t="shared" si="44"/>
        <v>Jun-2027</v>
      </c>
    </row>
    <row r="536" spans="1:11" x14ac:dyDescent="0.3">
      <c r="A536" s="3">
        <v>46546</v>
      </c>
      <c r="B536" s="2" t="str">
        <f t="shared" si="40"/>
        <v>Jun-2027</v>
      </c>
      <c r="C536">
        <v>84</v>
      </c>
      <c r="D536">
        <v>118</v>
      </c>
      <c r="E536">
        <v>136</v>
      </c>
      <c r="F536" s="1">
        <v>9396</v>
      </c>
      <c r="G536">
        <v>300</v>
      </c>
      <c r="H536">
        <f t="shared" si="41"/>
        <v>1.152542372881356</v>
      </c>
      <c r="I536">
        <f t="shared" si="42"/>
        <v>3.1928480204342274E-2</v>
      </c>
      <c r="J536">
        <f t="shared" si="43"/>
        <v>-216</v>
      </c>
      <c r="K536" t="str">
        <f t="shared" si="44"/>
        <v>Jun-2027</v>
      </c>
    </row>
    <row r="537" spans="1:11" x14ac:dyDescent="0.3">
      <c r="A537" s="3">
        <v>46547</v>
      </c>
      <c r="B537" s="2" t="str">
        <f t="shared" si="40"/>
        <v>Jun-2027</v>
      </c>
      <c r="C537">
        <v>86</v>
      </c>
      <c r="D537">
        <v>152</v>
      </c>
      <c r="E537">
        <v>168</v>
      </c>
      <c r="F537" s="1">
        <v>9436</v>
      </c>
      <c r="G537">
        <v>327</v>
      </c>
      <c r="H537">
        <f t="shared" si="41"/>
        <v>1.1052631578947369</v>
      </c>
      <c r="I537">
        <f t="shared" si="42"/>
        <v>3.4654514624841037E-2</v>
      </c>
      <c r="J537">
        <f t="shared" si="43"/>
        <v>-241</v>
      </c>
      <c r="K537" t="str">
        <f t="shared" si="44"/>
        <v>Jun-2027</v>
      </c>
    </row>
    <row r="538" spans="1:11" x14ac:dyDescent="0.3">
      <c r="A538" s="3">
        <v>46548</v>
      </c>
      <c r="B538" s="2" t="str">
        <f t="shared" si="40"/>
        <v>Jun-2027</v>
      </c>
      <c r="C538">
        <v>106</v>
      </c>
      <c r="D538">
        <v>196</v>
      </c>
      <c r="E538">
        <v>131</v>
      </c>
      <c r="F538" s="1">
        <v>9506</v>
      </c>
      <c r="G538">
        <v>454</v>
      </c>
      <c r="H538">
        <f t="shared" si="41"/>
        <v>0.66836734693877553</v>
      </c>
      <c r="I538">
        <f t="shared" si="42"/>
        <v>4.7759309909530825E-2</v>
      </c>
      <c r="J538">
        <f t="shared" si="43"/>
        <v>-348</v>
      </c>
      <c r="K538" t="str">
        <f t="shared" si="44"/>
        <v>Jun-2027</v>
      </c>
    </row>
    <row r="539" spans="1:11" x14ac:dyDescent="0.3">
      <c r="A539" s="3">
        <v>46549</v>
      </c>
      <c r="B539" s="2" t="str">
        <f t="shared" si="40"/>
        <v>Jun-2027</v>
      </c>
      <c r="C539">
        <v>113</v>
      </c>
      <c r="D539">
        <v>162</v>
      </c>
      <c r="E539">
        <v>107</v>
      </c>
      <c r="F539" s="1">
        <v>10319</v>
      </c>
      <c r="G539">
        <v>406</v>
      </c>
      <c r="H539">
        <f t="shared" si="41"/>
        <v>0.66049382716049387</v>
      </c>
      <c r="I539">
        <f t="shared" si="42"/>
        <v>3.9344897761410987E-2</v>
      </c>
      <c r="J539">
        <f t="shared" si="43"/>
        <v>-293</v>
      </c>
      <c r="K539" t="str">
        <f t="shared" si="44"/>
        <v>Jun-2027</v>
      </c>
    </row>
    <row r="540" spans="1:11" x14ac:dyDescent="0.3">
      <c r="A540" s="3">
        <v>46550</v>
      </c>
      <c r="B540" s="2" t="str">
        <f t="shared" si="40"/>
        <v>Jun-2027</v>
      </c>
      <c r="C540">
        <v>92</v>
      </c>
      <c r="D540">
        <v>124</v>
      </c>
      <c r="E540">
        <v>93</v>
      </c>
      <c r="F540" s="1">
        <v>10511</v>
      </c>
      <c r="G540">
        <v>393</v>
      </c>
      <c r="H540">
        <f t="shared" si="41"/>
        <v>0.75</v>
      </c>
      <c r="I540">
        <f t="shared" si="42"/>
        <v>3.7389401579297876E-2</v>
      </c>
      <c r="J540">
        <f t="shared" si="43"/>
        <v>-301</v>
      </c>
      <c r="K540" t="str">
        <f t="shared" si="44"/>
        <v>Jun-2027</v>
      </c>
    </row>
    <row r="541" spans="1:11" x14ac:dyDescent="0.3">
      <c r="A541" s="3">
        <v>46551</v>
      </c>
      <c r="B541" s="2" t="str">
        <f t="shared" si="40"/>
        <v>Jun-2027</v>
      </c>
      <c r="C541">
        <v>68</v>
      </c>
      <c r="D541">
        <v>107</v>
      </c>
      <c r="E541">
        <v>102</v>
      </c>
      <c r="F541" s="1">
        <v>10630</v>
      </c>
      <c r="G541">
        <v>315</v>
      </c>
      <c r="H541">
        <f t="shared" si="41"/>
        <v>0.95327102803738317</v>
      </c>
      <c r="I541">
        <f t="shared" si="42"/>
        <v>2.9633113828786452E-2</v>
      </c>
      <c r="J541">
        <f t="shared" si="43"/>
        <v>-247</v>
      </c>
      <c r="K541" t="str">
        <f t="shared" si="44"/>
        <v>Jun-2027</v>
      </c>
    </row>
    <row r="542" spans="1:11" x14ac:dyDescent="0.3">
      <c r="A542" s="3">
        <v>46552</v>
      </c>
      <c r="B542" s="2" t="str">
        <f t="shared" si="40"/>
        <v>Jun-2027</v>
      </c>
      <c r="C542">
        <v>74</v>
      </c>
      <c r="D542">
        <v>103</v>
      </c>
      <c r="E542">
        <v>80</v>
      </c>
      <c r="F542" s="1">
        <v>10629</v>
      </c>
      <c r="G542">
        <v>331</v>
      </c>
      <c r="H542">
        <f t="shared" si="41"/>
        <v>0.77669902912621358</v>
      </c>
      <c r="I542">
        <f t="shared" si="42"/>
        <v>3.1141217424028603E-2</v>
      </c>
      <c r="J542">
        <f t="shared" si="43"/>
        <v>-257</v>
      </c>
      <c r="K542" t="str">
        <f t="shared" si="44"/>
        <v>Jun-2027</v>
      </c>
    </row>
    <row r="543" spans="1:11" x14ac:dyDescent="0.3">
      <c r="A543" s="3">
        <v>46553</v>
      </c>
      <c r="B543" s="2" t="str">
        <f t="shared" si="40"/>
        <v>Jun-2027</v>
      </c>
      <c r="C543">
        <v>56</v>
      </c>
      <c r="D543">
        <v>82</v>
      </c>
      <c r="E543">
        <v>68</v>
      </c>
      <c r="F543" s="1">
        <v>10571</v>
      </c>
      <c r="G543">
        <v>434</v>
      </c>
      <c r="H543">
        <f t="shared" si="41"/>
        <v>0.82926829268292679</v>
      </c>
      <c r="I543">
        <f t="shared" si="42"/>
        <v>4.1055718475073312E-2</v>
      </c>
      <c r="J543">
        <f t="shared" si="43"/>
        <v>-378</v>
      </c>
      <c r="K543" t="str">
        <f t="shared" si="44"/>
        <v>Jun-2027</v>
      </c>
    </row>
    <row r="544" spans="1:11" x14ac:dyDescent="0.3">
      <c r="A544" s="3">
        <v>46554</v>
      </c>
      <c r="B544" s="2" t="str">
        <f t="shared" si="40"/>
        <v>Jun-2027</v>
      </c>
      <c r="C544">
        <v>38</v>
      </c>
      <c r="D544">
        <v>80</v>
      </c>
      <c r="E544">
        <v>82</v>
      </c>
      <c r="F544" s="1">
        <v>10992</v>
      </c>
      <c r="G544">
        <v>398</v>
      </c>
      <c r="H544">
        <f t="shared" si="41"/>
        <v>1.0249999999999999</v>
      </c>
      <c r="I544">
        <f t="shared" si="42"/>
        <v>3.6208151382823871E-2</v>
      </c>
      <c r="J544">
        <f t="shared" si="43"/>
        <v>-360</v>
      </c>
      <c r="K544" t="str">
        <f t="shared" si="44"/>
        <v>Jun-2027</v>
      </c>
    </row>
    <row r="545" spans="1:11" x14ac:dyDescent="0.3">
      <c r="A545" s="3">
        <v>46555</v>
      </c>
      <c r="B545" s="2" t="str">
        <f t="shared" si="40"/>
        <v>Jun-2027</v>
      </c>
      <c r="C545">
        <v>65</v>
      </c>
      <c r="D545">
        <v>83</v>
      </c>
      <c r="E545">
        <v>65</v>
      </c>
      <c r="F545" s="1">
        <v>10960</v>
      </c>
      <c r="G545">
        <v>266</v>
      </c>
      <c r="H545">
        <f t="shared" si="41"/>
        <v>0.7831325301204819</v>
      </c>
      <c r="I545">
        <f t="shared" si="42"/>
        <v>2.4270072992700731E-2</v>
      </c>
      <c r="J545">
        <f t="shared" si="43"/>
        <v>-201</v>
      </c>
      <c r="K545" t="str">
        <f t="shared" si="44"/>
        <v>Jun-2027</v>
      </c>
    </row>
    <row r="546" spans="1:11" x14ac:dyDescent="0.3">
      <c r="A546" s="3">
        <v>46556</v>
      </c>
      <c r="B546" s="2" t="str">
        <f t="shared" si="40"/>
        <v>Jun-2027</v>
      </c>
      <c r="C546">
        <v>41</v>
      </c>
      <c r="D546">
        <v>60</v>
      </c>
      <c r="E546">
        <v>71</v>
      </c>
      <c r="F546" s="1">
        <v>10910</v>
      </c>
      <c r="G546">
        <v>257</v>
      </c>
      <c r="H546">
        <f t="shared" si="41"/>
        <v>1.1833333333333333</v>
      </c>
      <c r="I546">
        <f t="shared" si="42"/>
        <v>2.3556370302474795E-2</v>
      </c>
      <c r="J546">
        <f t="shared" si="43"/>
        <v>-216</v>
      </c>
      <c r="K546" t="str">
        <f t="shared" si="44"/>
        <v>Jun-2027</v>
      </c>
    </row>
    <row r="547" spans="1:11" x14ac:dyDescent="0.3">
      <c r="A547" s="3">
        <v>46557</v>
      </c>
      <c r="B547" s="2" t="str">
        <f t="shared" si="40"/>
        <v>Jun-2027</v>
      </c>
      <c r="C547">
        <v>43</v>
      </c>
      <c r="D547">
        <v>73</v>
      </c>
      <c r="E547">
        <v>64</v>
      </c>
      <c r="F547" s="1">
        <v>10815</v>
      </c>
      <c r="G547">
        <v>282</v>
      </c>
      <c r="H547">
        <f t="shared" si="41"/>
        <v>0.87671232876712324</v>
      </c>
      <c r="I547">
        <f t="shared" si="42"/>
        <v>2.6074895977808599E-2</v>
      </c>
      <c r="J547">
        <f t="shared" si="43"/>
        <v>-239</v>
      </c>
      <c r="K547" t="str">
        <f t="shared" si="44"/>
        <v>Jun-2027</v>
      </c>
    </row>
    <row r="548" spans="1:11" x14ac:dyDescent="0.3">
      <c r="A548" s="3">
        <v>46558</v>
      </c>
      <c r="B548" s="2" t="str">
        <f t="shared" si="40"/>
        <v>Jun-2027</v>
      </c>
      <c r="C548">
        <v>35</v>
      </c>
      <c r="D548">
        <v>70</v>
      </c>
      <c r="E548">
        <v>53</v>
      </c>
      <c r="F548" s="1">
        <v>11130</v>
      </c>
      <c r="G548">
        <v>427</v>
      </c>
      <c r="H548">
        <f t="shared" si="41"/>
        <v>0.75714285714285712</v>
      </c>
      <c r="I548">
        <f t="shared" si="42"/>
        <v>3.8364779874213835E-2</v>
      </c>
      <c r="J548">
        <f t="shared" si="43"/>
        <v>-392</v>
      </c>
      <c r="K548" t="str">
        <f t="shared" si="44"/>
        <v>Jun-2027</v>
      </c>
    </row>
    <row r="549" spans="1:11" x14ac:dyDescent="0.3">
      <c r="A549" s="3">
        <v>46559</v>
      </c>
      <c r="B549" s="2" t="str">
        <f t="shared" si="40"/>
        <v>Jun-2027</v>
      </c>
      <c r="C549">
        <v>25</v>
      </c>
      <c r="D549">
        <v>66</v>
      </c>
      <c r="E549">
        <v>94</v>
      </c>
      <c r="F549" s="1">
        <v>10963</v>
      </c>
      <c r="G549">
        <v>330</v>
      </c>
      <c r="H549">
        <f t="shared" si="41"/>
        <v>1.4242424242424243</v>
      </c>
      <c r="I549">
        <f t="shared" si="42"/>
        <v>3.0101249657940345E-2</v>
      </c>
      <c r="J549">
        <f t="shared" si="43"/>
        <v>-305</v>
      </c>
      <c r="K549" t="str">
        <f t="shared" si="44"/>
        <v>Jun-2027</v>
      </c>
    </row>
    <row r="550" spans="1:11" x14ac:dyDescent="0.3">
      <c r="A550" s="3">
        <v>46560</v>
      </c>
      <c r="B550" s="2" t="str">
        <f t="shared" si="40"/>
        <v>Jun-2027</v>
      </c>
      <c r="C550">
        <v>99</v>
      </c>
      <c r="D550">
        <v>156</v>
      </c>
      <c r="E550">
        <v>139</v>
      </c>
      <c r="F550" s="1">
        <v>10818</v>
      </c>
      <c r="G550">
        <v>287</v>
      </c>
      <c r="H550">
        <f t="shared" si="41"/>
        <v>0.89102564102564108</v>
      </c>
      <c r="I550">
        <f t="shared" si="42"/>
        <v>2.6529857644666296E-2</v>
      </c>
      <c r="J550">
        <f t="shared" si="43"/>
        <v>-188</v>
      </c>
      <c r="K550" t="str">
        <f t="shared" si="44"/>
        <v>Jun-2027</v>
      </c>
    </row>
    <row r="551" spans="1:11" x14ac:dyDescent="0.3">
      <c r="A551" s="3">
        <v>46561</v>
      </c>
      <c r="B551" s="2" t="str">
        <f t="shared" si="40"/>
        <v>Jun-2027</v>
      </c>
      <c r="C551">
        <v>107</v>
      </c>
      <c r="D551">
        <v>170</v>
      </c>
      <c r="E551">
        <v>133</v>
      </c>
      <c r="F551" s="1">
        <v>10724</v>
      </c>
      <c r="G551">
        <v>284</v>
      </c>
      <c r="H551">
        <f t="shared" si="41"/>
        <v>0.78235294117647058</v>
      </c>
      <c r="I551">
        <f t="shared" si="42"/>
        <v>2.6482655725475569E-2</v>
      </c>
      <c r="J551">
        <f t="shared" si="43"/>
        <v>-177</v>
      </c>
      <c r="K551" t="str">
        <f t="shared" si="44"/>
        <v>Jun-2027</v>
      </c>
    </row>
    <row r="552" spans="1:11" x14ac:dyDescent="0.3">
      <c r="A552" s="3">
        <v>46562</v>
      </c>
      <c r="B552" s="2" t="str">
        <f t="shared" si="40"/>
        <v>Jun-2027</v>
      </c>
      <c r="C552">
        <v>80</v>
      </c>
      <c r="D552">
        <v>122</v>
      </c>
      <c r="E552">
        <v>152</v>
      </c>
      <c r="F552" s="1">
        <v>10598</v>
      </c>
      <c r="G552">
        <v>493</v>
      </c>
      <c r="H552">
        <f t="shared" si="41"/>
        <v>1.2459016393442623</v>
      </c>
      <c r="I552">
        <f t="shared" si="42"/>
        <v>4.6518210983204376E-2</v>
      </c>
      <c r="J552">
        <f t="shared" si="43"/>
        <v>-413</v>
      </c>
      <c r="K552" t="str">
        <f t="shared" si="44"/>
        <v>Jun-2027</v>
      </c>
    </row>
    <row r="553" spans="1:11" x14ac:dyDescent="0.3">
      <c r="A553" s="3">
        <v>46563</v>
      </c>
      <c r="B553" s="2" t="str">
        <f t="shared" si="40"/>
        <v>Jun-2027</v>
      </c>
      <c r="C553">
        <v>57</v>
      </c>
      <c r="D553">
        <v>162</v>
      </c>
      <c r="E553">
        <v>193</v>
      </c>
      <c r="F553" s="1">
        <v>10984</v>
      </c>
      <c r="G553">
        <v>447</v>
      </c>
      <c r="H553">
        <f t="shared" si="41"/>
        <v>1.191358024691358</v>
      </c>
      <c r="I553">
        <f t="shared" si="42"/>
        <v>4.0695557174071376E-2</v>
      </c>
      <c r="J553">
        <f t="shared" si="43"/>
        <v>-390</v>
      </c>
      <c r="K553" t="str">
        <f t="shared" si="44"/>
        <v>Jun-2027</v>
      </c>
    </row>
    <row r="554" spans="1:11" x14ac:dyDescent="0.3">
      <c r="A554" s="3">
        <v>46564</v>
      </c>
      <c r="B554" s="2" t="str">
        <f t="shared" si="40"/>
        <v>Jun-2027</v>
      </c>
      <c r="C554">
        <v>161</v>
      </c>
      <c r="D554">
        <v>304</v>
      </c>
      <c r="E554">
        <v>211</v>
      </c>
      <c r="F554" s="1">
        <v>11017</v>
      </c>
      <c r="G554">
        <v>331</v>
      </c>
      <c r="H554">
        <f t="shared" si="41"/>
        <v>0.69407894736842102</v>
      </c>
      <c r="I554">
        <f t="shared" si="42"/>
        <v>3.0044476717799765E-2</v>
      </c>
      <c r="J554">
        <f t="shared" si="43"/>
        <v>-170</v>
      </c>
      <c r="K554" t="str">
        <f t="shared" si="44"/>
        <v>Jun-2027</v>
      </c>
    </row>
    <row r="555" spans="1:11" x14ac:dyDescent="0.3">
      <c r="A555" s="3">
        <v>46565</v>
      </c>
      <c r="B555" s="2" t="str">
        <f t="shared" si="40"/>
        <v>Jun-2027</v>
      </c>
      <c r="C555">
        <v>205</v>
      </c>
      <c r="D555">
        <v>294</v>
      </c>
      <c r="E555">
        <v>177</v>
      </c>
      <c r="F555" s="1">
        <v>10978</v>
      </c>
      <c r="G555">
        <v>332</v>
      </c>
      <c r="H555">
        <f t="shared" si="41"/>
        <v>0.60204081632653061</v>
      </c>
      <c r="I555">
        <f t="shared" si="42"/>
        <v>3.0242302787392969E-2</v>
      </c>
      <c r="J555">
        <f t="shared" si="43"/>
        <v>-127</v>
      </c>
      <c r="K555" t="str">
        <f t="shared" si="44"/>
        <v>Jun-2027</v>
      </c>
    </row>
    <row r="556" spans="1:11" x14ac:dyDescent="0.3">
      <c r="A556" s="3">
        <v>46566</v>
      </c>
      <c r="B556" s="2" t="str">
        <f t="shared" si="40"/>
        <v>Jun-2027</v>
      </c>
      <c r="C556">
        <v>100</v>
      </c>
      <c r="D556">
        <v>255</v>
      </c>
      <c r="E556">
        <v>236</v>
      </c>
      <c r="F556" s="1">
        <v>10842</v>
      </c>
      <c r="G556">
        <v>284</v>
      </c>
      <c r="H556">
        <f t="shared" si="41"/>
        <v>0.92549019607843142</v>
      </c>
      <c r="I556">
        <f t="shared" si="42"/>
        <v>2.6194429072126914E-2</v>
      </c>
      <c r="J556">
        <f t="shared" si="43"/>
        <v>-184</v>
      </c>
      <c r="K556" t="str">
        <f t="shared" si="44"/>
        <v>Jun-2027</v>
      </c>
    </row>
    <row r="557" spans="1:11" x14ac:dyDescent="0.3">
      <c r="A557" s="3">
        <v>46567</v>
      </c>
      <c r="B557" s="2" t="str">
        <f t="shared" si="40"/>
        <v>Jun-2027</v>
      </c>
      <c r="C557">
        <v>269</v>
      </c>
      <c r="D557">
        <v>412</v>
      </c>
      <c r="E557">
        <v>204</v>
      </c>
      <c r="F557" s="1">
        <v>10744</v>
      </c>
      <c r="G557">
        <v>403</v>
      </c>
      <c r="H557">
        <f t="shared" si="41"/>
        <v>0.49514563106796117</v>
      </c>
      <c r="I557">
        <f t="shared" si="42"/>
        <v>3.7509307520476542E-2</v>
      </c>
      <c r="J557">
        <f t="shared" si="43"/>
        <v>-134</v>
      </c>
      <c r="K557" t="str">
        <f t="shared" si="44"/>
        <v>Jun-2027</v>
      </c>
    </row>
    <row r="558" spans="1:11" x14ac:dyDescent="0.3">
      <c r="A558" s="3">
        <v>46568</v>
      </c>
      <c r="B558" s="2" t="str">
        <f t="shared" si="40"/>
        <v>Jun-2027</v>
      </c>
      <c r="C558">
        <v>168</v>
      </c>
      <c r="D558">
        <v>285</v>
      </c>
      <c r="E558">
        <v>210</v>
      </c>
      <c r="F558" s="1">
        <v>11067</v>
      </c>
      <c r="G558">
        <v>428</v>
      </c>
      <c r="H558">
        <f t="shared" si="41"/>
        <v>0.73684210526315785</v>
      </c>
      <c r="I558">
        <f t="shared" si="42"/>
        <v>3.867353392970091E-2</v>
      </c>
      <c r="J558">
        <f t="shared" si="43"/>
        <v>-260</v>
      </c>
      <c r="K558" t="str">
        <f t="shared" si="44"/>
        <v>Jun-2027</v>
      </c>
    </row>
    <row r="559" spans="1:11" x14ac:dyDescent="0.3">
      <c r="A559" s="3">
        <v>46569</v>
      </c>
      <c r="B559" s="2" t="str">
        <f t="shared" si="40"/>
        <v>Jul-2027</v>
      </c>
      <c r="C559">
        <v>187</v>
      </c>
      <c r="D559">
        <v>310</v>
      </c>
      <c r="E559">
        <v>247</v>
      </c>
      <c r="F559" s="1">
        <v>11064</v>
      </c>
      <c r="G559">
        <v>364</v>
      </c>
      <c r="H559">
        <f t="shared" si="41"/>
        <v>0.79677419354838708</v>
      </c>
      <c r="I559">
        <f t="shared" si="42"/>
        <v>3.2899493853940712E-2</v>
      </c>
      <c r="J559">
        <f t="shared" si="43"/>
        <v>-177</v>
      </c>
      <c r="K559" t="str">
        <f t="shared" si="44"/>
        <v>Jul-2027</v>
      </c>
    </row>
    <row r="560" spans="1:11" x14ac:dyDescent="0.3">
      <c r="A560" s="3">
        <v>46570</v>
      </c>
      <c r="B560" s="2" t="str">
        <f t="shared" si="40"/>
        <v>Jul-2027</v>
      </c>
      <c r="C560">
        <v>133</v>
      </c>
      <c r="D560">
        <v>287</v>
      </c>
      <c r="E560">
        <v>189</v>
      </c>
      <c r="F560" s="1">
        <v>11095</v>
      </c>
      <c r="G560">
        <v>260</v>
      </c>
      <c r="H560">
        <f t="shared" si="41"/>
        <v>0.65853658536585369</v>
      </c>
      <c r="I560">
        <f t="shared" si="42"/>
        <v>2.3433979269941414E-2</v>
      </c>
      <c r="J560">
        <f t="shared" si="43"/>
        <v>-127</v>
      </c>
      <c r="K560" t="str">
        <f t="shared" si="44"/>
        <v>Jul-2027</v>
      </c>
    </row>
    <row r="561" spans="1:11" x14ac:dyDescent="0.3">
      <c r="A561" s="3">
        <v>46571</v>
      </c>
      <c r="B561" s="2" t="str">
        <f t="shared" si="40"/>
        <v>Jul-2027</v>
      </c>
      <c r="C561">
        <v>180</v>
      </c>
      <c r="D561">
        <v>337</v>
      </c>
      <c r="E561">
        <v>219</v>
      </c>
      <c r="F561" s="1">
        <v>10892</v>
      </c>
      <c r="G561">
        <v>313</v>
      </c>
      <c r="H561">
        <f t="shared" si="41"/>
        <v>0.64985163204747776</v>
      </c>
      <c r="I561">
        <f t="shared" si="42"/>
        <v>2.8736687477047374E-2</v>
      </c>
      <c r="J561">
        <f t="shared" si="43"/>
        <v>-133</v>
      </c>
      <c r="K561" t="str">
        <f t="shared" si="44"/>
        <v>Jul-2027</v>
      </c>
    </row>
    <row r="562" spans="1:11" x14ac:dyDescent="0.3">
      <c r="A562" s="3">
        <v>46572</v>
      </c>
      <c r="B562" s="2" t="str">
        <f t="shared" si="40"/>
        <v>Jul-2027</v>
      </c>
      <c r="C562">
        <v>153</v>
      </c>
      <c r="D562">
        <v>253</v>
      </c>
      <c r="E562">
        <v>286</v>
      </c>
      <c r="F562" s="1">
        <v>10799</v>
      </c>
      <c r="G562">
        <v>427</v>
      </c>
      <c r="H562">
        <f t="shared" si="41"/>
        <v>1.1304347826086956</v>
      </c>
      <c r="I562">
        <f t="shared" si="42"/>
        <v>3.954069821279748E-2</v>
      </c>
      <c r="J562">
        <f t="shared" si="43"/>
        <v>-274</v>
      </c>
      <c r="K562" t="str">
        <f t="shared" si="44"/>
        <v>Jul-2027</v>
      </c>
    </row>
    <row r="563" spans="1:11" x14ac:dyDescent="0.3">
      <c r="A563" s="3">
        <v>46573</v>
      </c>
      <c r="B563" s="2" t="str">
        <f t="shared" si="40"/>
        <v>Jul-2027</v>
      </c>
      <c r="C563">
        <v>209</v>
      </c>
      <c r="D563">
        <v>353</v>
      </c>
      <c r="E563">
        <v>232</v>
      </c>
      <c r="F563" s="1">
        <v>10837</v>
      </c>
      <c r="G563">
        <v>414</v>
      </c>
      <c r="H563">
        <f t="shared" si="41"/>
        <v>0.65722379603399439</v>
      </c>
      <c r="I563">
        <f t="shared" si="42"/>
        <v>3.8202454553843315E-2</v>
      </c>
      <c r="J563">
        <f t="shared" si="43"/>
        <v>-205</v>
      </c>
      <c r="K563" t="str">
        <f t="shared" si="44"/>
        <v>Jul-2027</v>
      </c>
    </row>
    <row r="564" spans="1:11" x14ac:dyDescent="0.3">
      <c r="A564" s="3">
        <v>46574</v>
      </c>
      <c r="B564" s="2" t="str">
        <f t="shared" si="40"/>
        <v>Jul-2027</v>
      </c>
      <c r="C564">
        <v>167</v>
      </c>
      <c r="D564">
        <v>326</v>
      </c>
      <c r="E564">
        <v>213</v>
      </c>
      <c r="F564" s="1">
        <v>10678</v>
      </c>
      <c r="G564">
        <v>343</v>
      </c>
      <c r="H564">
        <f t="shared" si="41"/>
        <v>0.65337423312883436</v>
      </c>
      <c r="I564">
        <f t="shared" si="42"/>
        <v>3.2122120247237311E-2</v>
      </c>
      <c r="J564">
        <f t="shared" si="43"/>
        <v>-176</v>
      </c>
      <c r="K564" t="str">
        <f t="shared" si="44"/>
        <v>Jul-2027</v>
      </c>
    </row>
    <row r="565" spans="1:11" x14ac:dyDescent="0.3">
      <c r="A565" s="3">
        <v>46575</v>
      </c>
      <c r="B565" s="2" t="str">
        <f t="shared" si="40"/>
        <v>Jul-2027</v>
      </c>
      <c r="C565">
        <v>224</v>
      </c>
      <c r="D565">
        <v>315</v>
      </c>
      <c r="E565">
        <v>152</v>
      </c>
      <c r="F565" s="1">
        <v>10649</v>
      </c>
      <c r="G565">
        <v>316</v>
      </c>
      <c r="H565">
        <f t="shared" si="41"/>
        <v>0.48253968253968255</v>
      </c>
      <c r="I565">
        <f t="shared" si="42"/>
        <v>2.9674147807305849E-2</v>
      </c>
      <c r="J565">
        <f t="shared" si="43"/>
        <v>-92</v>
      </c>
      <c r="K565" t="str">
        <f t="shared" si="44"/>
        <v>Jul-2027</v>
      </c>
    </row>
    <row r="566" spans="1:11" x14ac:dyDescent="0.3">
      <c r="A566" s="3">
        <v>46576</v>
      </c>
      <c r="B566" s="2" t="str">
        <f t="shared" si="40"/>
        <v>Jul-2027</v>
      </c>
      <c r="C566">
        <v>132</v>
      </c>
      <c r="D566">
        <v>243</v>
      </c>
      <c r="E566">
        <v>183</v>
      </c>
      <c r="F566" s="1">
        <v>10492</v>
      </c>
      <c r="G566">
        <v>277</v>
      </c>
      <c r="H566">
        <f t="shared" si="41"/>
        <v>0.75308641975308643</v>
      </c>
      <c r="I566">
        <f t="shared" si="42"/>
        <v>2.640106747998475E-2</v>
      </c>
      <c r="J566">
        <f t="shared" si="43"/>
        <v>-145</v>
      </c>
      <c r="K566" t="str">
        <f t="shared" si="44"/>
        <v>Jul-2027</v>
      </c>
    </row>
    <row r="567" spans="1:11" x14ac:dyDescent="0.3">
      <c r="A567" s="3">
        <v>46577</v>
      </c>
      <c r="B567" s="2" t="str">
        <f t="shared" si="40"/>
        <v>Jul-2027</v>
      </c>
      <c r="C567">
        <v>218</v>
      </c>
      <c r="D567">
        <v>283</v>
      </c>
      <c r="E567">
        <v>208</v>
      </c>
      <c r="F567" s="1">
        <v>10282</v>
      </c>
      <c r="G567">
        <v>382</v>
      </c>
      <c r="H567">
        <f t="shared" si="41"/>
        <v>0.73498233215547704</v>
      </c>
      <c r="I567">
        <f t="shared" si="42"/>
        <v>3.7152304999027427E-2</v>
      </c>
      <c r="J567">
        <f t="shared" si="43"/>
        <v>-164</v>
      </c>
      <c r="K567" t="str">
        <f t="shared" si="44"/>
        <v>Jul-2027</v>
      </c>
    </row>
    <row r="568" spans="1:11" x14ac:dyDescent="0.3">
      <c r="A568" s="3">
        <v>46578</v>
      </c>
      <c r="B568" s="2" t="str">
        <f t="shared" si="40"/>
        <v>Jul-2027</v>
      </c>
      <c r="C568">
        <v>118</v>
      </c>
      <c r="D568">
        <v>245</v>
      </c>
      <c r="E568">
        <v>160</v>
      </c>
      <c r="F568" s="1">
        <v>10419</v>
      </c>
      <c r="G568">
        <v>398</v>
      </c>
      <c r="H568">
        <f t="shared" si="41"/>
        <v>0.65306122448979587</v>
      </c>
      <c r="I568">
        <f t="shared" si="42"/>
        <v>3.819944332469527E-2</v>
      </c>
      <c r="J568">
        <f t="shared" si="43"/>
        <v>-280</v>
      </c>
      <c r="K568" t="str">
        <f t="shared" si="44"/>
        <v>Jul-2027</v>
      </c>
    </row>
    <row r="569" spans="1:11" x14ac:dyDescent="0.3">
      <c r="A569" s="3">
        <v>46579</v>
      </c>
      <c r="B569" s="2" t="str">
        <f t="shared" si="40"/>
        <v>Jul-2027</v>
      </c>
      <c r="C569">
        <v>81</v>
      </c>
      <c r="D569">
        <v>230</v>
      </c>
      <c r="E569">
        <v>242</v>
      </c>
      <c r="F569" s="1">
        <v>10356</v>
      </c>
      <c r="G569">
        <v>291</v>
      </c>
      <c r="H569">
        <f t="shared" si="41"/>
        <v>1.0521739130434782</v>
      </c>
      <c r="I569">
        <f t="shared" si="42"/>
        <v>2.809965237543453E-2</v>
      </c>
      <c r="J569">
        <f t="shared" si="43"/>
        <v>-210</v>
      </c>
      <c r="K569" t="str">
        <f t="shared" si="44"/>
        <v>Jul-2027</v>
      </c>
    </row>
    <row r="570" spans="1:11" x14ac:dyDescent="0.3">
      <c r="A570" s="3">
        <v>46580</v>
      </c>
      <c r="B570" s="2" t="str">
        <f t="shared" si="40"/>
        <v>Jul-2027</v>
      </c>
      <c r="C570">
        <v>236</v>
      </c>
      <c r="D570">
        <v>330</v>
      </c>
      <c r="E570">
        <v>222</v>
      </c>
      <c r="F570" s="1">
        <v>10142</v>
      </c>
      <c r="G570">
        <v>243</v>
      </c>
      <c r="H570">
        <f t="shared" si="41"/>
        <v>0.67272727272727273</v>
      </c>
      <c r="I570">
        <f t="shared" si="42"/>
        <v>2.3959771248274503E-2</v>
      </c>
      <c r="J570">
        <f t="shared" si="43"/>
        <v>-7</v>
      </c>
      <c r="K570" t="str">
        <f t="shared" si="44"/>
        <v>Jul-2027</v>
      </c>
    </row>
    <row r="571" spans="1:11" x14ac:dyDescent="0.3">
      <c r="A571" s="3">
        <v>46581</v>
      </c>
      <c r="B571" s="2" t="str">
        <f t="shared" si="40"/>
        <v>Jul-2027</v>
      </c>
      <c r="C571">
        <v>196</v>
      </c>
      <c r="D571">
        <v>306</v>
      </c>
      <c r="E571">
        <v>187</v>
      </c>
      <c r="F571" s="1">
        <v>9988</v>
      </c>
      <c r="G571">
        <v>293</v>
      </c>
      <c r="H571">
        <f t="shared" si="41"/>
        <v>0.61111111111111116</v>
      </c>
      <c r="I571">
        <f t="shared" si="42"/>
        <v>2.9335202242691229E-2</v>
      </c>
      <c r="J571">
        <f t="shared" si="43"/>
        <v>-97</v>
      </c>
      <c r="K571" t="str">
        <f t="shared" si="44"/>
        <v>Jul-2027</v>
      </c>
    </row>
    <row r="572" spans="1:11" x14ac:dyDescent="0.3">
      <c r="A572" s="3">
        <v>46582</v>
      </c>
      <c r="B572" s="2" t="str">
        <f t="shared" si="40"/>
        <v>Jul-2027</v>
      </c>
      <c r="C572">
        <v>113</v>
      </c>
      <c r="D572">
        <v>280</v>
      </c>
      <c r="E572">
        <v>237</v>
      </c>
      <c r="F572" s="1">
        <v>10140</v>
      </c>
      <c r="G572">
        <v>505</v>
      </c>
      <c r="H572">
        <f t="shared" si="41"/>
        <v>0.84642857142857142</v>
      </c>
      <c r="I572">
        <f t="shared" si="42"/>
        <v>4.9802761341222877E-2</v>
      </c>
      <c r="J572">
        <f t="shared" si="43"/>
        <v>-392</v>
      </c>
      <c r="K572" t="str">
        <f t="shared" si="44"/>
        <v>Jul-2027</v>
      </c>
    </row>
    <row r="573" spans="1:11" x14ac:dyDescent="0.3">
      <c r="A573" s="3">
        <v>46583</v>
      </c>
      <c r="B573" s="2" t="str">
        <f t="shared" si="40"/>
        <v>Jul-2027</v>
      </c>
      <c r="C573">
        <v>239</v>
      </c>
      <c r="D573">
        <v>367</v>
      </c>
      <c r="E573">
        <v>224</v>
      </c>
      <c r="F573" s="1">
        <v>10280</v>
      </c>
      <c r="G573">
        <v>366</v>
      </c>
      <c r="H573">
        <f t="shared" si="41"/>
        <v>0.61035422343324253</v>
      </c>
      <c r="I573">
        <f t="shared" si="42"/>
        <v>3.5603112840466924E-2</v>
      </c>
      <c r="J573">
        <f t="shared" si="43"/>
        <v>-127</v>
      </c>
      <c r="K573" t="str">
        <f t="shared" si="44"/>
        <v>Jul-2027</v>
      </c>
    </row>
    <row r="574" spans="1:11" x14ac:dyDescent="0.3">
      <c r="A574" s="3">
        <v>46584</v>
      </c>
      <c r="B574" s="2" t="str">
        <f t="shared" si="40"/>
        <v>Jul-2027</v>
      </c>
      <c r="C574">
        <v>152</v>
      </c>
      <c r="D574">
        <v>272</v>
      </c>
      <c r="E574">
        <v>214</v>
      </c>
      <c r="F574" s="1">
        <v>10180</v>
      </c>
      <c r="G574">
        <v>286</v>
      </c>
      <c r="H574">
        <f t="shared" si="41"/>
        <v>0.78676470588235292</v>
      </c>
      <c r="I574">
        <f t="shared" si="42"/>
        <v>2.8094302554027506E-2</v>
      </c>
      <c r="J574">
        <f t="shared" si="43"/>
        <v>-134</v>
      </c>
      <c r="K574" t="str">
        <f t="shared" si="44"/>
        <v>Jul-2027</v>
      </c>
    </row>
    <row r="575" spans="1:11" x14ac:dyDescent="0.3">
      <c r="A575" s="3">
        <v>46585</v>
      </c>
      <c r="B575" s="2" t="str">
        <f t="shared" si="40"/>
        <v>Jul-2027</v>
      </c>
      <c r="C575">
        <v>170</v>
      </c>
      <c r="D575">
        <v>297</v>
      </c>
      <c r="E575">
        <v>196</v>
      </c>
      <c r="F575" s="1">
        <v>10012</v>
      </c>
      <c r="G575">
        <v>388</v>
      </c>
      <c r="H575">
        <f t="shared" si="41"/>
        <v>0.65993265993265993</v>
      </c>
      <c r="I575">
        <f t="shared" si="42"/>
        <v>3.8753495805033962E-2</v>
      </c>
      <c r="J575">
        <f t="shared" si="43"/>
        <v>-218</v>
      </c>
      <c r="K575" t="str">
        <f t="shared" si="44"/>
        <v>Jul-2027</v>
      </c>
    </row>
    <row r="576" spans="1:11" x14ac:dyDescent="0.3">
      <c r="A576" s="3">
        <v>46586</v>
      </c>
      <c r="B576" s="2" t="str">
        <f t="shared" si="40"/>
        <v>Jul-2027</v>
      </c>
      <c r="C576">
        <v>191</v>
      </c>
      <c r="D576">
        <v>283</v>
      </c>
      <c r="E576">
        <v>192</v>
      </c>
      <c r="F576" s="1">
        <v>9873</v>
      </c>
      <c r="G576">
        <v>488</v>
      </c>
      <c r="H576">
        <f t="shared" si="41"/>
        <v>0.67844522968197885</v>
      </c>
      <c r="I576">
        <f t="shared" si="42"/>
        <v>4.9427732198926363E-2</v>
      </c>
      <c r="J576">
        <f t="shared" si="43"/>
        <v>-297</v>
      </c>
      <c r="K576" t="str">
        <f t="shared" si="44"/>
        <v>Jul-2027</v>
      </c>
    </row>
    <row r="577" spans="1:11" x14ac:dyDescent="0.3">
      <c r="A577" s="3">
        <v>46587</v>
      </c>
      <c r="B577" s="2" t="str">
        <f t="shared" si="40"/>
        <v>Jul-2027</v>
      </c>
      <c r="C577">
        <v>109</v>
      </c>
      <c r="D577">
        <v>214</v>
      </c>
      <c r="E577">
        <v>173</v>
      </c>
      <c r="F577" s="1">
        <v>10026</v>
      </c>
      <c r="G577">
        <v>443</v>
      </c>
      <c r="H577">
        <f t="shared" si="41"/>
        <v>0.80841121495327106</v>
      </c>
      <c r="I577">
        <f t="shared" si="42"/>
        <v>4.4185118691402354E-2</v>
      </c>
      <c r="J577">
        <f t="shared" si="43"/>
        <v>-334</v>
      </c>
      <c r="K577" t="str">
        <f t="shared" si="44"/>
        <v>Jul-2027</v>
      </c>
    </row>
    <row r="578" spans="1:11" x14ac:dyDescent="0.3">
      <c r="A578" s="3">
        <v>46588</v>
      </c>
      <c r="B578" s="2" t="str">
        <f t="shared" si="40"/>
        <v>Jul-2027</v>
      </c>
      <c r="C578">
        <v>155</v>
      </c>
      <c r="D578">
        <v>212</v>
      </c>
      <c r="E578">
        <v>181</v>
      </c>
      <c r="F578" s="1">
        <v>10071</v>
      </c>
      <c r="G578">
        <v>285</v>
      </c>
      <c r="H578">
        <f t="shared" si="41"/>
        <v>0.85377358490566035</v>
      </c>
      <c r="I578">
        <f t="shared" si="42"/>
        <v>2.8299076556449209E-2</v>
      </c>
      <c r="J578">
        <f t="shared" si="43"/>
        <v>-130</v>
      </c>
      <c r="K578" t="str">
        <f t="shared" si="44"/>
        <v>Jul-2027</v>
      </c>
    </row>
    <row r="579" spans="1:11" x14ac:dyDescent="0.3">
      <c r="A579" s="3">
        <v>46589</v>
      </c>
      <c r="B579" s="2" t="str">
        <f t="shared" ref="B579:B642" si="45">TEXT(A579,"mmm-yyyy")</f>
        <v>Jul-2027</v>
      </c>
      <c r="C579">
        <v>119</v>
      </c>
      <c r="D579">
        <v>209</v>
      </c>
      <c r="E579">
        <v>152</v>
      </c>
      <c r="F579" s="1">
        <v>9921</v>
      </c>
      <c r="G579">
        <v>230</v>
      </c>
      <c r="H579">
        <f t="shared" ref="H579:H642" si="46">E579/D579</f>
        <v>0.72727272727272729</v>
      </c>
      <c r="I579">
        <f t="shared" ref="I579:I642" si="47">G579/F579</f>
        <v>2.3183146860195545E-2</v>
      </c>
      <c r="J579">
        <f t="shared" ref="J579:J642" si="48">C579-G579</f>
        <v>-111</v>
      </c>
      <c r="K579" t="str">
        <f t="shared" ref="K579:K642" si="49">TEXT(A579,"mmm-yyyy")</f>
        <v>Jul-2027</v>
      </c>
    </row>
    <row r="580" spans="1:11" x14ac:dyDescent="0.3">
      <c r="A580" s="3">
        <v>46590</v>
      </c>
      <c r="B580" s="2" t="str">
        <f t="shared" si="45"/>
        <v>Jul-2027</v>
      </c>
      <c r="C580">
        <v>143</v>
      </c>
      <c r="D580">
        <v>203</v>
      </c>
      <c r="E580">
        <v>163</v>
      </c>
      <c r="F580" s="1">
        <v>9668</v>
      </c>
      <c r="G580">
        <v>281</v>
      </c>
      <c r="H580">
        <f t="shared" si="46"/>
        <v>0.80295566502463056</v>
      </c>
      <c r="I580">
        <f t="shared" si="47"/>
        <v>2.9064956557716178E-2</v>
      </c>
      <c r="J580">
        <f t="shared" si="48"/>
        <v>-138</v>
      </c>
      <c r="K580" t="str">
        <f t="shared" si="49"/>
        <v>Jul-2027</v>
      </c>
    </row>
    <row r="581" spans="1:11" x14ac:dyDescent="0.3">
      <c r="A581" s="3">
        <v>46591</v>
      </c>
      <c r="B581" s="2" t="str">
        <f t="shared" si="45"/>
        <v>Jul-2027</v>
      </c>
      <c r="C581">
        <v>105</v>
      </c>
      <c r="D581">
        <v>210</v>
      </c>
      <c r="E581">
        <v>149</v>
      </c>
      <c r="F581" s="1">
        <v>9483</v>
      </c>
      <c r="G581">
        <v>390</v>
      </c>
      <c r="H581">
        <f t="shared" si="46"/>
        <v>0.70952380952380956</v>
      </c>
      <c r="I581">
        <f t="shared" si="47"/>
        <v>4.1126225877886745E-2</v>
      </c>
      <c r="J581">
        <f t="shared" si="48"/>
        <v>-285</v>
      </c>
      <c r="K581" t="str">
        <f t="shared" si="49"/>
        <v>Jul-2027</v>
      </c>
    </row>
    <row r="582" spans="1:11" x14ac:dyDescent="0.3">
      <c r="A582" s="3">
        <v>46592</v>
      </c>
      <c r="B582" s="2" t="str">
        <f t="shared" si="45"/>
        <v>Jul-2027</v>
      </c>
      <c r="C582">
        <v>119</v>
      </c>
      <c r="D582">
        <v>219</v>
      </c>
      <c r="E582">
        <v>210</v>
      </c>
      <c r="F582" s="1">
        <v>9694</v>
      </c>
      <c r="G582">
        <v>407</v>
      </c>
      <c r="H582">
        <f t="shared" si="46"/>
        <v>0.95890410958904104</v>
      </c>
      <c r="I582">
        <f t="shared" si="47"/>
        <v>4.1984732824427481E-2</v>
      </c>
      <c r="J582">
        <f t="shared" si="48"/>
        <v>-288</v>
      </c>
      <c r="K582" t="str">
        <f t="shared" si="49"/>
        <v>Jul-2027</v>
      </c>
    </row>
    <row r="583" spans="1:11" x14ac:dyDescent="0.3">
      <c r="A583" s="3">
        <v>46593</v>
      </c>
      <c r="B583" s="2" t="str">
        <f t="shared" si="45"/>
        <v>Jul-2027</v>
      </c>
      <c r="C583">
        <v>148</v>
      </c>
      <c r="D583">
        <v>245</v>
      </c>
      <c r="E583">
        <v>175</v>
      </c>
      <c r="F583" s="1">
        <v>9634</v>
      </c>
      <c r="G583">
        <v>288</v>
      </c>
      <c r="H583">
        <f t="shared" si="46"/>
        <v>0.7142857142857143</v>
      </c>
      <c r="I583">
        <f t="shared" si="47"/>
        <v>2.9894124974050237E-2</v>
      </c>
      <c r="J583">
        <f t="shared" si="48"/>
        <v>-140</v>
      </c>
      <c r="K583" t="str">
        <f t="shared" si="49"/>
        <v>Jul-2027</v>
      </c>
    </row>
    <row r="584" spans="1:11" x14ac:dyDescent="0.3">
      <c r="A584" s="3">
        <v>46594</v>
      </c>
      <c r="B584" s="2" t="str">
        <f t="shared" si="45"/>
        <v>Jul-2027</v>
      </c>
      <c r="C584">
        <v>142</v>
      </c>
      <c r="D584">
        <v>235</v>
      </c>
      <c r="E584">
        <v>139</v>
      </c>
      <c r="F584" s="1">
        <v>8914</v>
      </c>
      <c r="G584">
        <v>353</v>
      </c>
      <c r="H584">
        <f t="shared" si="46"/>
        <v>0.59148936170212763</v>
      </c>
      <c r="I584">
        <f t="shared" si="47"/>
        <v>3.9600628225263633E-2</v>
      </c>
      <c r="J584">
        <f t="shared" si="48"/>
        <v>-211</v>
      </c>
      <c r="K584" t="str">
        <f t="shared" si="49"/>
        <v>Jul-2027</v>
      </c>
    </row>
    <row r="585" spans="1:11" x14ac:dyDescent="0.3">
      <c r="A585" s="3">
        <v>46595</v>
      </c>
      <c r="B585" s="2" t="str">
        <f t="shared" si="45"/>
        <v>Jul-2027</v>
      </c>
      <c r="C585">
        <v>118</v>
      </c>
      <c r="D585">
        <v>139</v>
      </c>
      <c r="E585">
        <v>168</v>
      </c>
      <c r="F585" s="1">
        <v>8888</v>
      </c>
      <c r="G585">
        <v>251</v>
      </c>
      <c r="H585">
        <f t="shared" si="46"/>
        <v>1.2086330935251799</v>
      </c>
      <c r="I585">
        <f t="shared" si="47"/>
        <v>2.824032403240324E-2</v>
      </c>
      <c r="J585">
        <f t="shared" si="48"/>
        <v>-133</v>
      </c>
      <c r="K585" t="str">
        <f t="shared" si="49"/>
        <v>Jul-2027</v>
      </c>
    </row>
    <row r="586" spans="1:11" x14ac:dyDescent="0.3">
      <c r="A586" s="3">
        <v>46596</v>
      </c>
      <c r="B586" s="2" t="str">
        <f t="shared" si="45"/>
        <v>Jul-2027</v>
      </c>
      <c r="C586">
        <v>125</v>
      </c>
      <c r="D586">
        <v>232</v>
      </c>
      <c r="E586">
        <v>192</v>
      </c>
      <c r="F586" s="1">
        <v>8725</v>
      </c>
      <c r="G586">
        <v>207</v>
      </c>
      <c r="H586">
        <f t="shared" si="46"/>
        <v>0.82758620689655171</v>
      </c>
      <c r="I586">
        <f t="shared" si="47"/>
        <v>2.3724928366762179E-2</v>
      </c>
      <c r="J586">
        <f t="shared" si="48"/>
        <v>-82</v>
      </c>
      <c r="K586" t="str">
        <f t="shared" si="49"/>
        <v>Jul-2027</v>
      </c>
    </row>
    <row r="587" spans="1:11" x14ac:dyDescent="0.3">
      <c r="A587" s="3">
        <v>46597</v>
      </c>
      <c r="B587" s="2" t="str">
        <f t="shared" si="45"/>
        <v>Jul-2027</v>
      </c>
      <c r="C587">
        <v>156</v>
      </c>
      <c r="D587">
        <v>256</v>
      </c>
      <c r="E587">
        <v>176</v>
      </c>
      <c r="F587" s="1">
        <v>8493</v>
      </c>
      <c r="G587">
        <v>202</v>
      </c>
      <c r="H587">
        <f t="shared" si="46"/>
        <v>0.6875</v>
      </c>
      <c r="I587">
        <f t="shared" si="47"/>
        <v>2.3784292947132933E-2</v>
      </c>
      <c r="J587">
        <f t="shared" si="48"/>
        <v>-46</v>
      </c>
      <c r="K587" t="str">
        <f t="shared" si="49"/>
        <v>Jul-2027</v>
      </c>
    </row>
    <row r="588" spans="1:11" x14ac:dyDescent="0.3">
      <c r="A588" s="3">
        <v>46598</v>
      </c>
      <c r="B588" s="2" t="str">
        <f t="shared" si="45"/>
        <v>Jul-2027</v>
      </c>
      <c r="C588">
        <v>109</v>
      </c>
      <c r="D588">
        <v>245</v>
      </c>
      <c r="E588">
        <v>159</v>
      </c>
      <c r="F588" s="1">
        <v>8298</v>
      </c>
      <c r="G588">
        <v>322</v>
      </c>
      <c r="H588">
        <f t="shared" si="46"/>
        <v>0.6489795918367347</v>
      </c>
      <c r="I588">
        <f t="shared" si="47"/>
        <v>3.8804531212340322E-2</v>
      </c>
      <c r="J588">
        <f t="shared" si="48"/>
        <v>-213</v>
      </c>
      <c r="K588" t="str">
        <f t="shared" si="49"/>
        <v>Jul-2027</v>
      </c>
    </row>
    <row r="589" spans="1:11" x14ac:dyDescent="0.3">
      <c r="A589" s="3">
        <v>46599</v>
      </c>
      <c r="B589" s="2" t="str">
        <f t="shared" si="45"/>
        <v>Jul-2027</v>
      </c>
      <c r="C589">
        <v>167</v>
      </c>
      <c r="D589">
        <v>209</v>
      </c>
      <c r="E589">
        <v>157</v>
      </c>
      <c r="F589" s="1">
        <v>8294</v>
      </c>
      <c r="G589">
        <v>339</v>
      </c>
      <c r="H589">
        <f t="shared" si="46"/>
        <v>0.75119617224880386</v>
      </c>
      <c r="I589">
        <f t="shared" si="47"/>
        <v>4.0872920183265007E-2</v>
      </c>
      <c r="J589">
        <f t="shared" si="48"/>
        <v>-172</v>
      </c>
      <c r="K589" t="str">
        <f t="shared" si="49"/>
        <v>Jul-2027</v>
      </c>
    </row>
    <row r="590" spans="1:11" x14ac:dyDescent="0.3">
      <c r="A590" s="3">
        <v>46600</v>
      </c>
      <c r="B590" s="2" t="str">
        <f t="shared" si="45"/>
        <v>Aug-2027</v>
      </c>
      <c r="C590">
        <v>84</v>
      </c>
      <c r="D590">
        <v>171</v>
      </c>
      <c r="E590">
        <v>157</v>
      </c>
      <c r="F590" s="1">
        <v>8261</v>
      </c>
      <c r="G590">
        <v>271</v>
      </c>
      <c r="H590">
        <f t="shared" si="46"/>
        <v>0.91812865497076024</v>
      </c>
      <c r="I590">
        <f t="shared" si="47"/>
        <v>3.2804745188233869E-2</v>
      </c>
      <c r="J590">
        <f t="shared" si="48"/>
        <v>-187</v>
      </c>
      <c r="K590" t="str">
        <f t="shared" si="49"/>
        <v>Aug-2027</v>
      </c>
    </row>
    <row r="591" spans="1:11" x14ac:dyDescent="0.3">
      <c r="A591" s="3">
        <v>46601</v>
      </c>
      <c r="B591" s="2" t="str">
        <f t="shared" si="45"/>
        <v>Aug-2027</v>
      </c>
      <c r="C591">
        <v>87</v>
      </c>
      <c r="D591">
        <v>246</v>
      </c>
      <c r="E591">
        <v>173</v>
      </c>
      <c r="F591" s="1">
        <v>8103</v>
      </c>
      <c r="G591">
        <v>168</v>
      </c>
      <c r="H591">
        <f t="shared" si="46"/>
        <v>0.7032520325203252</v>
      </c>
      <c r="I591">
        <f t="shared" si="47"/>
        <v>2.0733061828952241E-2</v>
      </c>
      <c r="J591">
        <f t="shared" si="48"/>
        <v>-81</v>
      </c>
      <c r="K591" t="str">
        <f t="shared" si="49"/>
        <v>Aug-2027</v>
      </c>
    </row>
    <row r="592" spans="1:11" x14ac:dyDescent="0.3">
      <c r="A592" s="3">
        <v>46602</v>
      </c>
      <c r="B592" s="2" t="str">
        <f t="shared" si="45"/>
        <v>Aug-2027</v>
      </c>
      <c r="C592">
        <v>136</v>
      </c>
      <c r="D592">
        <v>276</v>
      </c>
      <c r="E592">
        <v>178</v>
      </c>
      <c r="F592" s="1">
        <v>7800</v>
      </c>
      <c r="G592">
        <v>220</v>
      </c>
      <c r="H592">
        <f t="shared" si="46"/>
        <v>0.64492753623188404</v>
      </c>
      <c r="I592">
        <f t="shared" si="47"/>
        <v>2.8205128205128206E-2</v>
      </c>
      <c r="J592">
        <f t="shared" si="48"/>
        <v>-84</v>
      </c>
      <c r="K592" t="str">
        <f t="shared" si="49"/>
        <v>Aug-2027</v>
      </c>
    </row>
    <row r="593" spans="1:11" x14ac:dyDescent="0.3">
      <c r="A593" s="3">
        <v>46603</v>
      </c>
      <c r="B593" s="2" t="str">
        <f t="shared" si="45"/>
        <v>Aug-2027</v>
      </c>
      <c r="C593">
        <v>166</v>
      </c>
      <c r="D593">
        <v>277</v>
      </c>
      <c r="E593">
        <v>229</v>
      </c>
      <c r="F593" s="1">
        <v>7671</v>
      </c>
      <c r="G593">
        <v>305</v>
      </c>
      <c r="H593">
        <f t="shared" si="46"/>
        <v>0.8267148014440433</v>
      </c>
      <c r="I593">
        <f t="shared" si="47"/>
        <v>3.976013557554426E-2</v>
      </c>
      <c r="J593">
        <f t="shared" si="48"/>
        <v>-139</v>
      </c>
      <c r="K593" t="str">
        <f t="shared" si="49"/>
        <v>Aug-2027</v>
      </c>
    </row>
    <row r="594" spans="1:11" x14ac:dyDescent="0.3">
      <c r="A594" s="3">
        <v>46604</v>
      </c>
      <c r="B594" s="2" t="str">
        <f t="shared" si="45"/>
        <v>Aug-2027</v>
      </c>
      <c r="C594">
        <v>110</v>
      </c>
      <c r="D594">
        <v>272</v>
      </c>
      <c r="E594">
        <v>193</v>
      </c>
      <c r="F594" s="1">
        <v>7754</v>
      </c>
      <c r="G594">
        <v>259</v>
      </c>
      <c r="H594">
        <f t="shared" si="46"/>
        <v>0.7095588235294118</v>
      </c>
      <c r="I594">
        <f t="shared" si="47"/>
        <v>3.3402115037400051E-2</v>
      </c>
      <c r="J594">
        <f t="shared" si="48"/>
        <v>-149</v>
      </c>
      <c r="K594" t="str">
        <f t="shared" si="49"/>
        <v>Aug-2027</v>
      </c>
    </row>
    <row r="595" spans="1:11" x14ac:dyDescent="0.3">
      <c r="A595" s="3">
        <v>46605</v>
      </c>
      <c r="B595" s="2" t="str">
        <f t="shared" si="45"/>
        <v>Aug-2027</v>
      </c>
      <c r="C595">
        <v>202</v>
      </c>
      <c r="D595">
        <v>313</v>
      </c>
      <c r="E595">
        <v>158</v>
      </c>
      <c r="F595" s="1">
        <v>7647</v>
      </c>
      <c r="G595">
        <v>215</v>
      </c>
      <c r="H595">
        <f t="shared" si="46"/>
        <v>0.50479233226837061</v>
      </c>
      <c r="I595">
        <f t="shared" si="47"/>
        <v>2.8115600889237608E-2</v>
      </c>
      <c r="J595">
        <f t="shared" si="48"/>
        <v>-13</v>
      </c>
      <c r="K595" t="str">
        <f t="shared" si="49"/>
        <v>Aug-2027</v>
      </c>
    </row>
    <row r="596" spans="1:11" x14ac:dyDescent="0.3">
      <c r="A596" s="3">
        <v>46606</v>
      </c>
      <c r="B596" s="2" t="str">
        <f t="shared" si="45"/>
        <v>Aug-2027</v>
      </c>
      <c r="C596">
        <v>134</v>
      </c>
      <c r="D596">
        <v>294</v>
      </c>
      <c r="E596">
        <v>186</v>
      </c>
      <c r="F596" s="1">
        <v>7510</v>
      </c>
      <c r="G596">
        <v>136</v>
      </c>
      <c r="H596">
        <f t="shared" si="46"/>
        <v>0.63265306122448983</v>
      </c>
      <c r="I596">
        <f t="shared" si="47"/>
        <v>1.8109187749667112E-2</v>
      </c>
      <c r="J596">
        <f t="shared" si="48"/>
        <v>-2</v>
      </c>
      <c r="K596" t="str">
        <f t="shared" si="49"/>
        <v>Aug-2027</v>
      </c>
    </row>
    <row r="597" spans="1:11" x14ac:dyDescent="0.3">
      <c r="A597" s="3">
        <v>46607</v>
      </c>
      <c r="B597" s="2" t="str">
        <f t="shared" si="45"/>
        <v>Aug-2027</v>
      </c>
      <c r="C597">
        <v>180</v>
      </c>
      <c r="D597">
        <v>280</v>
      </c>
      <c r="E597">
        <v>146</v>
      </c>
      <c r="F597" s="1">
        <v>7220</v>
      </c>
      <c r="G597">
        <v>187</v>
      </c>
      <c r="H597">
        <f t="shared" si="46"/>
        <v>0.52142857142857146</v>
      </c>
      <c r="I597">
        <f t="shared" si="47"/>
        <v>2.5900277008310248E-2</v>
      </c>
      <c r="J597">
        <f t="shared" si="48"/>
        <v>-7</v>
      </c>
      <c r="K597" t="str">
        <f t="shared" si="49"/>
        <v>Aug-2027</v>
      </c>
    </row>
    <row r="598" spans="1:11" x14ac:dyDescent="0.3">
      <c r="A598" s="3">
        <v>46608</v>
      </c>
      <c r="B598" s="2" t="str">
        <f t="shared" si="45"/>
        <v>Aug-2027</v>
      </c>
      <c r="C598">
        <v>108</v>
      </c>
      <c r="D598">
        <v>220</v>
      </c>
      <c r="E598">
        <v>213</v>
      </c>
      <c r="F598" s="1">
        <v>7052</v>
      </c>
      <c r="G598">
        <v>276</v>
      </c>
      <c r="H598">
        <f t="shared" si="46"/>
        <v>0.96818181818181814</v>
      </c>
      <c r="I598">
        <f t="shared" si="47"/>
        <v>3.9137833238797506E-2</v>
      </c>
      <c r="J598">
        <f t="shared" si="48"/>
        <v>-168</v>
      </c>
      <c r="K598" t="str">
        <f t="shared" si="49"/>
        <v>Aug-2027</v>
      </c>
    </row>
    <row r="599" spans="1:11" x14ac:dyDescent="0.3">
      <c r="A599" s="3">
        <v>46609</v>
      </c>
      <c r="B599" s="2" t="str">
        <f t="shared" si="45"/>
        <v>Aug-2027</v>
      </c>
      <c r="C599">
        <v>147</v>
      </c>
      <c r="D599">
        <v>276</v>
      </c>
      <c r="E599">
        <v>214</v>
      </c>
      <c r="F599" s="1">
        <v>7116</v>
      </c>
      <c r="G599">
        <v>281</v>
      </c>
      <c r="H599">
        <f t="shared" si="46"/>
        <v>0.77536231884057971</v>
      </c>
      <c r="I599">
        <f t="shared" si="47"/>
        <v>3.9488476672287803E-2</v>
      </c>
      <c r="J599">
        <f t="shared" si="48"/>
        <v>-134</v>
      </c>
      <c r="K599" t="str">
        <f t="shared" si="49"/>
        <v>Aug-2027</v>
      </c>
    </row>
    <row r="600" spans="1:11" x14ac:dyDescent="0.3">
      <c r="A600" s="3">
        <v>46610</v>
      </c>
      <c r="B600" s="2" t="str">
        <f t="shared" si="45"/>
        <v>Aug-2027</v>
      </c>
      <c r="C600">
        <v>104</v>
      </c>
      <c r="D600">
        <v>230</v>
      </c>
      <c r="E600">
        <v>206</v>
      </c>
      <c r="F600" s="1">
        <v>7001</v>
      </c>
      <c r="G600">
        <v>226</v>
      </c>
      <c r="H600">
        <f t="shared" si="46"/>
        <v>0.89565217391304353</v>
      </c>
      <c r="I600">
        <f t="shared" si="47"/>
        <v>3.2281102699614338E-2</v>
      </c>
      <c r="J600">
        <f t="shared" si="48"/>
        <v>-122</v>
      </c>
      <c r="K600" t="str">
        <f t="shared" si="49"/>
        <v>Aug-2027</v>
      </c>
    </row>
    <row r="601" spans="1:11" x14ac:dyDescent="0.3">
      <c r="A601" s="3">
        <v>46611</v>
      </c>
      <c r="B601" s="2" t="str">
        <f t="shared" si="45"/>
        <v>Aug-2027</v>
      </c>
      <c r="C601">
        <v>174</v>
      </c>
      <c r="D601">
        <v>285</v>
      </c>
      <c r="E601">
        <v>150</v>
      </c>
      <c r="F601" s="1">
        <v>6874</v>
      </c>
      <c r="G601">
        <v>181</v>
      </c>
      <c r="H601">
        <f t="shared" si="46"/>
        <v>0.52631578947368418</v>
      </c>
      <c r="I601">
        <f t="shared" si="47"/>
        <v>2.6331102705848125E-2</v>
      </c>
      <c r="J601">
        <f t="shared" si="48"/>
        <v>-7</v>
      </c>
      <c r="K601" t="str">
        <f t="shared" si="49"/>
        <v>Aug-2027</v>
      </c>
    </row>
    <row r="602" spans="1:11" x14ac:dyDescent="0.3">
      <c r="A602" s="3">
        <v>46612</v>
      </c>
      <c r="B602" s="2" t="str">
        <f t="shared" si="45"/>
        <v>Aug-2027</v>
      </c>
      <c r="C602">
        <v>113</v>
      </c>
      <c r="D602">
        <v>208</v>
      </c>
      <c r="E602">
        <v>159</v>
      </c>
      <c r="F602" s="1">
        <v>6632</v>
      </c>
      <c r="G602">
        <v>160</v>
      </c>
      <c r="H602">
        <f t="shared" si="46"/>
        <v>0.76442307692307687</v>
      </c>
      <c r="I602">
        <f t="shared" si="47"/>
        <v>2.4125452352231604E-2</v>
      </c>
      <c r="J602">
        <f t="shared" si="48"/>
        <v>-47</v>
      </c>
      <c r="K602" t="str">
        <f t="shared" si="49"/>
        <v>Aug-2027</v>
      </c>
    </row>
    <row r="603" spans="1:11" x14ac:dyDescent="0.3">
      <c r="A603" s="3">
        <v>46613</v>
      </c>
      <c r="B603" s="2" t="str">
        <f t="shared" si="45"/>
        <v>Aug-2027</v>
      </c>
      <c r="C603">
        <v>88</v>
      </c>
      <c r="D603">
        <v>214</v>
      </c>
      <c r="E603">
        <v>160</v>
      </c>
      <c r="F603" s="1">
        <v>6468</v>
      </c>
      <c r="G603">
        <v>218</v>
      </c>
      <c r="H603">
        <f t="shared" si="46"/>
        <v>0.74766355140186913</v>
      </c>
      <c r="I603">
        <f t="shared" si="47"/>
        <v>3.3704390847247988E-2</v>
      </c>
      <c r="J603">
        <f t="shared" si="48"/>
        <v>-130</v>
      </c>
      <c r="K603" t="str">
        <f t="shared" si="49"/>
        <v>Aug-2027</v>
      </c>
    </row>
    <row r="604" spans="1:11" x14ac:dyDescent="0.3">
      <c r="A604" s="3">
        <v>46614</v>
      </c>
      <c r="B604" s="2" t="str">
        <f t="shared" si="45"/>
        <v>Aug-2027</v>
      </c>
      <c r="C604">
        <v>130</v>
      </c>
      <c r="D604">
        <v>227</v>
      </c>
      <c r="E604">
        <v>192</v>
      </c>
      <c r="F604" s="1">
        <v>6604</v>
      </c>
      <c r="G604">
        <v>226</v>
      </c>
      <c r="H604">
        <f t="shared" si="46"/>
        <v>0.8458149779735683</v>
      </c>
      <c r="I604">
        <f t="shared" si="47"/>
        <v>3.4221683827983039E-2</v>
      </c>
      <c r="J604">
        <f t="shared" si="48"/>
        <v>-96</v>
      </c>
      <c r="K604" t="str">
        <f t="shared" si="49"/>
        <v>Aug-2027</v>
      </c>
    </row>
    <row r="605" spans="1:11" x14ac:dyDescent="0.3">
      <c r="A605" s="3">
        <v>46615</v>
      </c>
      <c r="B605" s="2" t="str">
        <f t="shared" si="45"/>
        <v>Aug-2027</v>
      </c>
      <c r="C605">
        <v>84</v>
      </c>
      <c r="D605">
        <v>158</v>
      </c>
      <c r="E605">
        <v>193</v>
      </c>
      <c r="F605" s="1">
        <v>6521</v>
      </c>
      <c r="G605">
        <v>210</v>
      </c>
      <c r="H605">
        <f t="shared" si="46"/>
        <v>1.2215189873417722</v>
      </c>
      <c r="I605">
        <f t="shared" si="47"/>
        <v>3.2203649746971326E-2</v>
      </c>
      <c r="J605">
        <f t="shared" si="48"/>
        <v>-126</v>
      </c>
      <c r="K605" t="str">
        <f t="shared" si="49"/>
        <v>Aug-2027</v>
      </c>
    </row>
    <row r="606" spans="1:11" x14ac:dyDescent="0.3">
      <c r="A606" s="3">
        <v>46616</v>
      </c>
      <c r="B606" s="2" t="str">
        <f t="shared" si="45"/>
        <v>Aug-2027</v>
      </c>
      <c r="C606">
        <v>115</v>
      </c>
      <c r="D606">
        <v>216</v>
      </c>
      <c r="E606">
        <v>169</v>
      </c>
      <c r="F606" s="1">
        <v>6498</v>
      </c>
      <c r="G606">
        <v>143</v>
      </c>
      <c r="H606">
        <f t="shared" si="46"/>
        <v>0.78240740740740744</v>
      </c>
      <c r="I606">
        <f t="shared" si="47"/>
        <v>2.200677131425054E-2</v>
      </c>
      <c r="J606">
        <f t="shared" si="48"/>
        <v>-28</v>
      </c>
      <c r="K606" t="str">
        <f t="shared" si="49"/>
        <v>Aug-2027</v>
      </c>
    </row>
    <row r="607" spans="1:11" x14ac:dyDescent="0.3">
      <c r="A607" s="3">
        <v>46617</v>
      </c>
      <c r="B607" s="2" t="str">
        <f t="shared" si="45"/>
        <v>Aug-2027</v>
      </c>
      <c r="C607">
        <v>167</v>
      </c>
      <c r="D607">
        <v>239</v>
      </c>
      <c r="E607">
        <v>166</v>
      </c>
      <c r="F607" s="1">
        <v>6346</v>
      </c>
      <c r="G607">
        <v>163</v>
      </c>
      <c r="H607">
        <f t="shared" si="46"/>
        <v>0.69456066945606698</v>
      </c>
      <c r="I607">
        <f t="shared" si="47"/>
        <v>2.5685471162937283E-2</v>
      </c>
      <c r="J607">
        <f t="shared" si="48"/>
        <v>4</v>
      </c>
      <c r="K607" t="str">
        <f t="shared" si="49"/>
        <v>Aug-2027</v>
      </c>
    </row>
    <row r="608" spans="1:11" x14ac:dyDescent="0.3">
      <c r="A608" s="3">
        <v>46618</v>
      </c>
      <c r="B608" s="2" t="str">
        <f t="shared" si="45"/>
        <v>Aug-2027</v>
      </c>
      <c r="C608">
        <v>99</v>
      </c>
      <c r="D608">
        <v>190</v>
      </c>
      <c r="E608">
        <v>176</v>
      </c>
      <c r="F608" s="1">
        <v>6214</v>
      </c>
      <c r="G608">
        <v>196</v>
      </c>
      <c r="H608">
        <f t="shared" si="46"/>
        <v>0.9263157894736842</v>
      </c>
      <c r="I608">
        <f t="shared" si="47"/>
        <v>3.1541680077244928E-2</v>
      </c>
      <c r="J608">
        <f t="shared" si="48"/>
        <v>-97</v>
      </c>
      <c r="K608" t="str">
        <f t="shared" si="49"/>
        <v>Aug-2027</v>
      </c>
    </row>
    <row r="609" spans="1:11" x14ac:dyDescent="0.3">
      <c r="A609" s="3">
        <v>46619</v>
      </c>
      <c r="B609" s="2" t="str">
        <f t="shared" si="45"/>
        <v>Aug-2027</v>
      </c>
      <c r="C609">
        <v>101</v>
      </c>
      <c r="D609">
        <v>162</v>
      </c>
      <c r="E609">
        <v>178</v>
      </c>
      <c r="F609" s="1">
        <v>6239</v>
      </c>
      <c r="G609">
        <v>205</v>
      </c>
      <c r="H609">
        <f t="shared" si="46"/>
        <v>1.0987654320987654</v>
      </c>
      <c r="I609">
        <f t="shared" si="47"/>
        <v>3.2857829780413531E-2</v>
      </c>
      <c r="J609">
        <f t="shared" si="48"/>
        <v>-104</v>
      </c>
      <c r="K609" t="str">
        <f t="shared" si="49"/>
        <v>Aug-2027</v>
      </c>
    </row>
    <row r="610" spans="1:11" x14ac:dyDescent="0.3">
      <c r="A610" s="3">
        <v>46620</v>
      </c>
      <c r="B610" s="2" t="str">
        <f t="shared" si="45"/>
        <v>Aug-2027</v>
      </c>
      <c r="C610">
        <v>107</v>
      </c>
      <c r="D610">
        <v>215</v>
      </c>
      <c r="E610">
        <v>230</v>
      </c>
      <c r="F610" s="1">
        <v>6193</v>
      </c>
      <c r="G610">
        <v>167</v>
      </c>
      <c r="H610">
        <f t="shared" si="46"/>
        <v>1.069767441860465</v>
      </c>
      <c r="I610">
        <f t="shared" si="47"/>
        <v>2.696592927498789E-2</v>
      </c>
      <c r="J610">
        <f t="shared" si="48"/>
        <v>-60</v>
      </c>
      <c r="K610" t="str">
        <f t="shared" si="49"/>
        <v>Aug-2027</v>
      </c>
    </row>
    <row r="611" spans="1:11" x14ac:dyDescent="0.3">
      <c r="A611" s="3">
        <v>46621</v>
      </c>
      <c r="B611" s="2" t="str">
        <f t="shared" si="45"/>
        <v>Aug-2027</v>
      </c>
      <c r="C611">
        <v>184</v>
      </c>
      <c r="D611">
        <v>314</v>
      </c>
      <c r="E611">
        <v>217</v>
      </c>
      <c r="F611" s="1">
        <v>6127</v>
      </c>
      <c r="G611">
        <v>124</v>
      </c>
      <c r="H611">
        <f t="shared" si="46"/>
        <v>0.69108280254777066</v>
      </c>
      <c r="I611">
        <f t="shared" si="47"/>
        <v>2.0238289538110004E-2</v>
      </c>
      <c r="J611">
        <f t="shared" si="48"/>
        <v>60</v>
      </c>
      <c r="K611" t="str">
        <f t="shared" si="49"/>
        <v>Aug-2027</v>
      </c>
    </row>
    <row r="612" spans="1:11" x14ac:dyDescent="0.3">
      <c r="A612" s="3">
        <v>46622</v>
      </c>
      <c r="B612" s="2" t="str">
        <f t="shared" si="45"/>
        <v>Aug-2027</v>
      </c>
      <c r="C612">
        <v>209</v>
      </c>
      <c r="D612">
        <v>285</v>
      </c>
      <c r="E612">
        <v>184</v>
      </c>
      <c r="F612" s="1">
        <v>5903</v>
      </c>
      <c r="G612">
        <v>309</v>
      </c>
      <c r="H612">
        <f t="shared" si="46"/>
        <v>0.64561403508771931</v>
      </c>
      <c r="I612">
        <f t="shared" si="47"/>
        <v>5.2346264611214638E-2</v>
      </c>
      <c r="J612">
        <f t="shared" si="48"/>
        <v>-100</v>
      </c>
      <c r="K612" t="str">
        <f t="shared" si="49"/>
        <v>Aug-2027</v>
      </c>
    </row>
    <row r="613" spans="1:11" x14ac:dyDescent="0.3">
      <c r="A613" s="3">
        <v>46623</v>
      </c>
      <c r="B613" s="2" t="str">
        <f t="shared" si="45"/>
        <v>Aug-2027</v>
      </c>
      <c r="C613">
        <v>81</v>
      </c>
      <c r="D613">
        <v>213</v>
      </c>
      <c r="E613">
        <v>153</v>
      </c>
      <c r="F613" s="1">
        <v>6058</v>
      </c>
      <c r="G613">
        <v>213</v>
      </c>
      <c r="H613">
        <f t="shared" si="46"/>
        <v>0.71830985915492962</v>
      </c>
      <c r="I613">
        <f t="shared" si="47"/>
        <v>3.5160118851105975E-2</v>
      </c>
      <c r="J613">
        <f t="shared" si="48"/>
        <v>-132</v>
      </c>
      <c r="K613" t="str">
        <f t="shared" si="49"/>
        <v>Aug-2027</v>
      </c>
    </row>
    <row r="614" spans="1:11" x14ac:dyDescent="0.3">
      <c r="A614" s="3">
        <v>46624</v>
      </c>
      <c r="B614" s="2" t="str">
        <f t="shared" si="45"/>
        <v>Aug-2027</v>
      </c>
      <c r="C614">
        <v>91</v>
      </c>
      <c r="D614">
        <v>199</v>
      </c>
      <c r="E614">
        <v>172</v>
      </c>
      <c r="F614" s="1">
        <v>5999</v>
      </c>
      <c r="G614">
        <v>174</v>
      </c>
      <c r="H614">
        <f t="shared" si="46"/>
        <v>0.86432160804020097</v>
      </c>
      <c r="I614">
        <f t="shared" si="47"/>
        <v>2.9004834139023172E-2</v>
      </c>
      <c r="J614">
        <f t="shared" si="48"/>
        <v>-83</v>
      </c>
      <c r="K614" t="str">
        <f t="shared" si="49"/>
        <v>Aug-2027</v>
      </c>
    </row>
    <row r="615" spans="1:11" x14ac:dyDescent="0.3">
      <c r="A615" s="3">
        <v>46625</v>
      </c>
      <c r="B615" s="2" t="str">
        <f t="shared" si="45"/>
        <v>Aug-2027</v>
      </c>
      <c r="C615">
        <v>154</v>
      </c>
      <c r="D615">
        <v>225</v>
      </c>
      <c r="E615">
        <v>220</v>
      </c>
      <c r="F615" s="1">
        <v>5917</v>
      </c>
      <c r="G615">
        <v>155</v>
      </c>
      <c r="H615">
        <f t="shared" si="46"/>
        <v>0.97777777777777775</v>
      </c>
      <c r="I615">
        <f t="shared" si="47"/>
        <v>2.6195707284096672E-2</v>
      </c>
      <c r="J615">
        <f t="shared" si="48"/>
        <v>-1</v>
      </c>
      <c r="K615" t="str">
        <f t="shared" si="49"/>
        <v>Aug-2027</v>
      </c>
    </row>
    <row r="616" spans="1:11" x14ac:dyDescent="0.3">
      <c r="A616" s="3">
        <v>46626</v>
      </c>
      <c r="B616" s="2" t="str">
        <f t="shared" si="45"/>
        <v>Aug-2027</v>
      </c>
      <c r="C616">
        <v>186</v>
      </c>
      <c r="D616">
        <v>259</v>
      </c>
      <c r="E616">
        <v>172</v>
      </c>
      <c r="F616" s="1">
        <v>5819</v>
      </c>
      <c r="G616">
        <v>174</v>
      </c>
      <c r="H616">
        <f t="shared" si="46"/>
        <v>0.6640926640926641</v>
      </c>
      <c r="I616">
        <f t="shared" si="47"/>
        <v>2.9902045024918372E-2</v>
      </c>
      <c r="J616">
        <f t="shared" si="48"/>
        <v>12</v>
      </c>
      <c r="K616" t="str">
        <f t="shared" si="49"/>
        <v>Aug-2027</v>
      </c>
    </row>
    <row r="617" spans="1:11" x14ac:dyDescent="0.3">
      <c r="A617" s="3">
        <v>46627</v>
      </c>
      <c r="B617" s="2" t="str">
        <f t="shared" si="45"/>
        <v>Aug-2027</v>
      </c>
      <c r="C617">
        <v>92</v>
      </c>
      <c r="D617">
        <v>203</v>
      </c>
      <c r="E617">
        <v>173</v>
      </c>
      <c r="F617" s="1">
        <v>5766</v>
      </c>
      <c r="G617">
        <v>263</v>
      </c>
      <c r="H617">
        <f t="shared" si="46"/>
        <v>0.85221674876847286</v>
      </c>
      <c r="I617">
        <f t="shared" si="47"/>
        <v>4.56122095039889E-2</v>
      </c>
      <c r="J617">
        <f t="shared" si="48"/>
        <v>-171</v>
      </c>
      <c r="K617" t="str">
        <f t="shared" si="49"/>
        <v>Aug-2027</v>
      </c>
    </row>
    <row r="618" spans="1:11" x14ac:dyDescent="0.3">
      <c r="A618" s="3">
        <v>46628</v>
      </c>
      <c r="B618" s="2" t="str">
        <f t="shared" si="45"/>
        <v>Aug-2027</v>
      </c>
      <c r="C618">
        <v>124</v>
      </c>
      <c r="D618">
        <v>234</v>
      </c>
      <c r="E618">
        <v>161</v>
      </c>
      <c r="F618" s="1">
        <v>5956</v>
      </c>
      <c r="G618">
        <v>207</v>
      </c>
      <c r="H618">
        <f t="shared" si="46"/>
        <v>0.68803418803418803</v>
      </c>
      <c r="I618">
        <f t="shared" si="47"/>
        <v>3.4754869039623909E-2</v>
      </c>
      <c r="J618">
        <f t="shared" si="48"/>
        <v>-83</v>
      </c>
      <c r="K618" t="str">
        <f t="shared" si="49"/>
        <v>Aug-2027</v>
      </c>
    </row>
    <row r="619" spans="1:11" x14ac:dyDescent="0.3">
      <c r="A619" s="3">
        <v>46629</v>
      </c>
      <c r="B619" s="2" t="str">
        <f t="shared" si="45"/>
        <v>Aug-2027</v>
      </c>
      <c r="C619">
        <v>93</v>
      </c>
      <c r="D619">
        <v>196</v>
      </c>
      <c r="E619">
        <v>169</v>
      </c>
      <c r="F619" s="1">
        <v>5922</v>
      </c>
      <c r="G619">
        <v>149</v>
      </c>
      <c r="H619">
        <f t="shared" si="46"/>
        <v>0.86224489795918369</v>
      </c>
      <c r="I619">
        <f t="shared" si="47"/>
        <v>2.5160418777440054E-2</v>
      </c>
      <c r="J619">
        <f t="shared" si="48"/>
        <v>-56</v>
      </c>
      <c r="K619" t="str">
        <f t="shared" si="49"/>
        <v>Aug-2027</v>
      </c>
    </row>
    <row r="620" spans="1:11" x14ac:dyDescent="0.3">
      <c r="A620" s="3">
        <v>46630</v>
      </c>
      <c r="B620" s="2" t="str">
        <f t="shared" si="45"/>
        <v>Aug-2027</v>
      </c>
      <c r="C620">
        <v>33</v>
      </c>
      <c r="D620">
        <v>53</v>
      </c>
      <c r="E620">
        <v>34</v>
      </c>
      <c r="F620" s="1">
        <v>5904</v>
      </c>
      <c r="G620">
        <v>134</v>
      </c>
      <c r="H620">
        <f t="shared" si="46"/>
        <v>0.64150943396226412</v>
      </c>
      <c r="I620">
        <f t="shared" si="47"/>
        <v>2.2696476964769646E-2</v>
      </c>
      <c r="J620">
        <f t="shared" si="48"/>
        <v>-101</v>
      </c>
      <c r="K620" t="str">
        <f t="shared" si="49"/>
        <v>Aug-2027</v>
      </c>
    </row>
    <row r="621" spans="1:11" x14ac:dyDescent="0.3">
      <c r="A621" s="3">
        <v>46631</v>
      </c>
      <c r="B621" s="2" t="str">
        <f t="shared" si="45"/>
        <v>Sep-2027</v>
      </c>
      <c r="C621">
        <v>29</v>
      </c>
      <c r="D621">
        <v>51</v>
      </c>
      <c r="E621">
        <v>11</v>
      </c>
      <c r="F621" s="1">
        <v>5679</v>
      </c>
      <c r="G621">
        <v>142</v>
      </c>
      <c r="H621">
        <f t="shared" si="46"/>
        <v>0.21568627450980393</v>
      </c>
      <c r="I621">
        <f t="shared" si="47"/>
        <v>2.5004402183483009E-2</v>
      </c>
      <c r="J621">
        <f t="shared" si="48"/>
        <v>-113</v>
      </c>
      <c r="K621" t="str">
        <f t="shared" si="49"/>
        <v>Sep-2027</v>
      </c>
    </row>
    <row r="622" spans="1:11" x14ac:dyDescent="0.3">
      <c r="A622" s="3">
        <v>46632</v>
      </c>
      <c r="B622" s="2" t="str">
        <f t="shared" si="45"/>
        <v>Sep-2027</v>
      </c>
      <c r="C622">
        <v>91</v>
      </c>
      <c r="D622">
        <v>75</v>
      </c>
      <c r="E622">
        <v>97</v>
      </c>
      <c r="F622" s="1">
        <v>6038</v>
      </c>
      <c r="G622">
        <v>272</v>
      </c>
      <c r="H622">
        <f t="shared" si="46"/>
        <v>1.2933333333333332</v>
      </c>
      <c r="I622">
        <f t="shared" si="47"/>
        <v>4.5048029148724744E-2</v>
      </c>
      <c r="J622">
        <f t="shared" si="48"/>
        <v>-181</v>
      </c>
      <c r="K622" t="str">
        <f t="shared" si="49"/>
        <v>Sep-2027</v>
      </c>
    </row>
    <row r="623" spans="1:11" x14ac:dyDescent="0.3">
      <c r="A623" s="3">
        <v>46633</v>
      </c>
      <c r="B623" s="2" t="str">
        <f t="shared" si="45"/>
        <v>Sep-2027</v>
      </c>
      <c r="C623">
        <v>62</v>
      </c>
      <c r="D623">
        <v>97</v>
      </c>
      <c r="E623">
        <v>52</v>
      </c>
      <c r="F623" s="1">
        <v>6065</v>
      </c>
      <c r="G623">
        <v>167</v>
      </c>
      <c r="H623">
        <f t="shared" si="46"/>
        <v>0.53608247422680411</v>
      </c>
      <c r="I623">
        <f t="shared" si="47"/>
        <v>2.7535037098103874E-2</v>
      </c>
      <c r="J623">
        <f t="shared" si="48"/>
        <v>-105</v>
      </c>
      <c r="K623" t="str">
        <f t="shared" si="49"/>
        <v>Sep-2027</v>
      </c>
    </row>
    <row r="624" spans="1:11" x14ac:dyDescent="0.3">
      <c r="A624" s="3">
        <v>46634</v>
      </c>
      <c r="B624" s="2" t="str">
        <f t="shared" si="45"/>
        <v>Sep-2027</v>
      </c>
      <c r="C624">
        <v>59</v>
      </c>
      <c r="D624">
        <v>64</v>
      </c>
      <c r="E624">
        <v>117</v>
      </c>
      <c r="F624" s="1">
        <v>6061</v>
      </c>
      <c r="G624">
        <v>146</v>
      </c>
      <c r="H624">
        <f t="shared" si="46"/>
        <v>1.828125</v>
      </c>
      <c r="I624">
        <f t="shared" si="47"/>
        <v>2.4088434251773636E-2</v>
      </c>
      <c r="J624">
        <f t="shared" si="48"/>
        <v>-87</v>
      </c>
      <c r="K624" t="str">
        <f t="shared" si="49"/>
        <v>Sep-2027</v>
      </c>
    </row>
    <row r="625" spans="1:11" x14ac:dyDescent="0.3">
      <c r="A625" s="3">
        <v>46635</v>
      </c>
      <c r="B625" s="2" t="str">
        <f t="shared" si="45"/>
        <v>Sep-2027</v>
      </c>
      <c r="C625">
        <v>84</v>
      </c>
      <c r="D625">
        <v>118</v>
      </c>
      <c r="E625">
        <v>136</v>
      </c>
      <c r="F625" s="1">
        <v>6021</v>
      </c>
      <c r="G625">
        <v>177</v>
      </c>
      <c r="H625">
        <f t="shared" si="46"/>
        <v>1.152542372881356</v>
      </c>
      <c r="I625">
        <f t="shared" si="47"/>
        <v>2.9397110114598904E-2</v>
      </c>
      <c r="J625">
        <f t="shared" si="48"/>
        <v>-93</v>
      </c>
      <c r="K625" t="str">
        <f t="shared" si="49"/>
        <v>Sep-2027</v>
      </c>
    </row>
    <row r="626" spans="1:11" x14ac:dyDescent="0.3">
      <c r="A626" s="3">
        <v>46636</v>
      </c>
      <c r="B626" s="2" t="str">
        <f t="shared" si="45"/>
        <v>Sep-2027</v>
      </c>
      <c r="C626">
        <v>86</v>
      </c>
      <c r="D626">
        <v>152</v>
      </c>
      <c r="E626">
        <v>168</v>
      </c>
      <c r="F626" s="1">
        <v>6007</v>
      </c>
      <c r="G626">
        <v>238</v>
      </c>
      <c r="H626">
        <f t="shared" si="46"/>
        <v>1.1052631578947369</v>
      </c>
      <c r="I626">
        <f t="shared" si="47"/>
        <v>3.9620442816713834E-2</v>
      </c>
      <c r="J626">
        <f t="shared" si="48"/>
        <v>-152</v>
      </c>
      <c r="K626" t="str">
        <f t="shared" si="49"/>
        <v>Sep-2027</v>
      </c>
    </row>
    <row r="627" spans="1:11" x14ac:dyDescent="0.3">
      <c r="A627" s="3">
        <v>46637</v>
      </c>
      <c r="B627" s="2" t="str">
        <f t="shared" si="45"/>
        <v>Sep-2027</v>
      </c>
      <c r="C627">
        <v>106</v>
      </c>
      <c r="D627">
        <v>196</v>
      </c>
      <c r="E627">
        <v>131</v>
      </c>
      <c r="F627" s="1">
        <v>6446</v>
      </c>
      <c r="G627">
        <v>255</v>
      </c>
      <c r="H627">
        <f t="shared" si="46"/>
        <v>0.66836734693877553</v>
      </c>
      <c r="I627">
        <f t="shared" si="47"/>
        <v>3.9559416692522498E-2</v>
      </c>
      <c r="J627">
        <f t="shared" si="48"/>
        <v>-149</v>
      </c>
      <c r="K627" t="str">
        <f t="shared" si="49"/>
        <v>Sep-2027</v>
      </c>
    </row>
    <row r="628" spans="1:11" x14ac:dyDescent="0.3">
      <c r="A628" s="3">
        <v>46638</v>
      </c>
      <c r="B628" s="2" t="str">
        <f t="shared" si="45"/>
        <v>Sep-2027</v>
      </c>
      <c r="C628">
        <v>113</v>
      </c>
      <c r="D628">
        <v>162</v>
      </c>
      <c r="E628">
        <v>107</v>
      </c>
      <c r="F628" s="1">
        <v>6483</v>
      </c>
      <c r="G628">
        <v>208</v>
      </c>
      <c r="H628">
        <f t="shared" si="46"/>
        <v>0.66049382716049387</v>
      </c>
      <c r="I628">
        <f t="shared" si="47"/>
        <v>3.2083911769242635E-2</v>
      </c>
      <c r="J628">
        <f t="shared" si="48"/>
        <v>-95</v>
      </c>
      <c r="K628" t="str">
        <f t="shared" si="49"/>
        <v>Sep-2027</v>
      </c>
    </row>
    <row r="629" spans="1:11" x14ac:dyDescent="0.3">
      <c r="A629" s="3">
        <v>46639</v>
      </c>
      <c r="B629" s="2" t="str">
        <f t="shared" si="45"/>
        <v>Sep-2027</v>
      </c>
      <c r="C629">
        <v>92</v>
      </c>
      <c r="D629">
        <v>124</v>
      </c>
      <c r="E629">
        <v>93</v>
      </c>
      <c r="F629" s="1">
        <v>6508</v>
      </c>
      <c r="G629">
        <v>187</v>
      </c>
      <c r="H629">
        <f t="shared" si="46"/>
        <v>0.75</v>
      </c>
      <c r="I629">
        <f t="shared" si="47"/>
        <v>2.8733866011063307E-2</v>
      </c>
      <c r="J629">
        <f t="shared" si="48"/>
        <v>-95</v>
      </c>
      <c r="K629" t="str">
        <f t="shared" si="49"/>
        <v>Sep-2027</v>
      </c>
    </row>
    <row r="630" spans="1:11" x14ac:dyDescent="0.3">
      <c r="A630" s="3">
        <v>46640</v>
      </c>
      <c r="B630" s="2" t="str">
        <f t="shared" si="45"/>
        <v>Sep-2027</v>
      </c>
      <c r="C630">
        <v>68</v>
      </c>
      <c r="D630">
        <v>107</v>
      </c>
      <c r="E630">
        <v>102</v>
      </c>
      <c r="F630" s="1">
        <v>6523</v>
      </c>
      <c r="G630">
        <v>189</v>
      </c>
      <c r="H630">
        <f t="shared" si="46"/>
        <v>0.95327102803738317</v>
      </c>
      <c r="I630">
        <f t="shared" si="47"/>
        <v>2.8974398282998619E-2</v>
      </c>
      <c r="J630">
        <f t="shared" si="48"/>
        <v>-121</v>
      </c>
      <c r="K630" t="str">
        <f t="shared" si="49"/>
        <v>Sep-2027</v>
      </c>
    </row>
    <row r="631" spans="1:11" x14ac:dyDescent="0.3">
      <c r="A631" s="3">
        <v>46641</v>
      </c>
      <c r="B631" s="2" t="str">
        <f t="shared" si="45"/>
        <v>Sep-2027</v>
      </c>
      <c r="C631">
        <v>74</v>
      </c>
      <c r="D631">
        <v>103</v>
      </c>
      <c r="E631">
        <v>80</v>
      </c>
      <c r="F631" s="1">
        <v>6555</v>
      </c>
      <c r="G631">
        <v>292</v>
      </c>
      <c r="H631">
        <f t="shared" si="46"/>
        <v>0.77669902912621358</v>
      </c>
      <c r="I631">
        <f t="shared" si="47"/>
        <v>4.4546147978642259E-2</v>
      </c>
      <c r="J631">
        <f t="shared" si="48"/>
        <v>-218</v>
      </c>
      <c r="K631" t="str">
        <f t="shared" si="49"/>
        <v>Sep-2027</v>
      </c>
    </row>
    <row r="632" spans="1:11" x14ac:dyDescent="0.3">
      <c r="A632" s="3">
        <v>46642</v>
      </c>
      <c r="B632" s="2" t="str">
        <f t="shared" si="45"/>
        <v>Sep-2027</v>
      </c>
      <c r="C632">
        <v>56</v>
      </c>
      <c r="D632">
        <v>82</v>
      </c>
      <c r="E632">
        <v>68</v>
      </c>
      <c r="F632" s="1">
        <v>7002</v>
      </c>
      <c r="G632">
        <v>287</v>
      </c>
      <c r="H632">
        <f t="shared" si="46"/>
        <v>0.82926829268292679</v>
      </c>
      <c r="I632">
        <f t="shared" si="47"/>
        <v>4.0988289060268496E-2</v>
      </c>
      <c r="J632">
        <f t="shared" si="48"/>
        <v>-231</v>
      </c>
      <c r="K632" t="str">
        <f t="shared" si="49"/>
        <v>Sep-2027</v>
      </c>
    </row>
    <row r="633" spans="1:11" x14ac:dyDescent="0.3">
      <c r="A633" s="3">
        <v>46643</v>
      </c>
      <c r="B633" s="2" t="str">
        <f t="shared" si="45"/>
        <v>Sep-2027</v>
      </c>
      <c r="C633">
        <v>38</v>
      </c>
      <c r="D633">
        <v>80</v>
      </c>
      <c r="E633">
        <v>82</v>
      </c>
      <c r="F633" s="1">
        <v>7053</v>
      </c>
      <c r="G633">
        <v>210</v>
      </c>
      <c r="H633">
        <f t="shared" si="46"/>
        <v>1.0249999999999999</v>
      </c>
      <c r="I633">
        <f t="shared" si="47"/>
        <v>2.9774564015312633E-2</v>
      </c>
      <c r="J633">
        <f t="shared" si="48"/>
        <v>-172</v>
      </c>
      <c r="K633" t="str">
        <f t="shared" si="49"/>
        <v>Sep-2027</v>
      </c>
    </row>
    <row r="634" spans="1:11" x14ac:dyDescent="0.3">
      <c r="A634" s="3">
        <v>46644</v>
      </c>
      <c r="B634" s="2" t="str">
        <f t="shared" si="45"/>
        <v>Sep-2027</v>
      </c>
      <c r="C634">
        <v>65</v>
      </c>
      <c r="D634">
        <v>83</v>
      </c>
      <c r="E634">
        <v>65</v>
      </c>
      <c r="F634" s="1">
        <v>7046</v>
      </c>
      <c r="G634">
        <v>168</v>
      </c>
      <c r="H634">
        <f t="shared" si="46"/>
        <v>0.7831325301204819</v>
      </c>
      <c r="I634">
        <f t="shared" si="47"/>
        <v>2.3843315356230486E-2</v>
      </c>
      <c r="J634">
        <f t="shared" si="48"/>
        <v>-103</v>
      </c>
      <c r="K634" t="str">
        <f t="shared" si="49"/>
        <v>Sep-2027</v>
      </c>
    </row>
    <row r="635" spans="1:11" x14ac:dyDescent="0.3">
      <c r="A635" s="3">
        <v>46645</v>
      </c>
      <c r="B635" s="2" t="str">
        <f t="shared" si="45"/>
        <v>Sep-2027</v>
      </c>
      <c r="C635">
        <v>41</v>
      </c>
      <c r="D635">
        <v>60</v>
      </c>
      <c r="E635">
        <v>71</v>
      </c>
      <c r="F635" s="1">
        <v>6996</v>
      </c>
      <c r="G635">
        <v>207</v>
      </c>
      <c r="H635">
        <f t="shared" si="46"/>
        <v>1.1833333333333333</v>
      </c>
      <c r="I635">
        <f t="shared" si="47"/>
        <v>2.9588336192109776E-2</v>
      </c>
      <c r="J635">
        <f t="shared" si="48"/>
        <v>-166</v>
      </c>
      <c r="K635" t="str">
        <f t="shared" si="49"/>
        <v>Sep-2027</v>
      </c>
    </row>
    <row r="636" spans="1:11" x14ac:dyDescent="0.3">
      <c r="A636" s="3">
        <v>46646</v>
      </c>
      <c r="B636" s="2" t="str">
        <f t="shared" si="45"/>
        <v>Sep-2027</v>
      </c>
      <c r="C636">
        <v>43</v>
      </c>
      <c r="D636">
        <v>73</v>
      </c>
      <c r="E636">
        <v>64</v>
      </c>
      <c r="F636" s="1">
        <v>7546</v>
      </c>
      <c r="G636">
        <v>408</v>
      </c>
      <c r="H636">
        <f t="shared" si="46"/>
        <v>0.87671232876712324</v>
      </c>
      <c r="I636">
        <f t="shared" si="47"/>
        <v>5.4068380598992841E-2</v>
      </c>
      <c r="J636">
        <f t="shared" si="48"/>
        <v>-365</v>
      </c>
      <c r="K636" t="str">
        <f t="shared" si="49"/>
        <v>Sep-2027</v>
      </c>
    </row>
    <row r="637" spans="1:11" x14ac:dyDescent="0.3">
      <c r="A637" s="3">
        <v>46647</v>
      </c>
      <c r="B637" s="2" t="str">
        <f t="shared" si="45"/>
        <v>Sep-2027</v>
      </c>
      <c r="C637">
        <v>35</v>
      </c>
      <c r="D637">
        <v>70</v>
      </c>
      <c r="E637">
        <v>53</v>
      </c>
      <c r="F637" s="1">
        <v>7709</v>
      </c>
      <c r="G637">
        <v>276</v>
      </c>
      <c r="H637">
        <f t="shared" si="46"/>
        <v>0.75714285714285712</v>
      </c>
      <c r="I637">
        <f t="shared" si="47"/>
        <v>3.5802308989492798E-2</v>
      </c>
      <c r="J637">
        <f t="shared" si="48"/>
        <v>-241</v>
      </c>
      <c r="K637" t="str">
        <f t="shared" si="49"/>
        <v>Sep-2027</v>
      </c>
    </row>
    <row r="638" spans="1:11" x14ac:dyDescent="0.3">
      <c r="A638" s="3">
        <v>46648</v>
      </c>
      <c r="B638" s="2" t="str">
        <f t="shared" si="45"/>
        <v>Sep-2027</v>
      </c>
      <c r="C638">
        <v>25</v>
      </c>
      <c r="D638">
        <v>66</v>
      </c>
      <c r="E638">
        <v>94</v>
      </c>
      <c r="F638" s="1">
        <v>7788</v>
      </c>
      <c r="G638">
        <v>246</v>
      </c>
      <c r="H638">
        <f t="shared" si="46"/>
        <v>1.4242424242424243</v>
      </c>
      <c r="I638">
        <f t="shared" si="47"/>
        <v>3.1587057010785825E-2</v>
      </c>
      <c r="J638">
        <f t="shared" si="48"/>
        <v>-221</v>
      </c>
      <c r="K638" t="str">
        <f t="shared" si="49"/>
        <v>Sep-2027</v>
      </c>
    </row>
    <row r="639" spans="1:11" x14ac:dyDescent="0.3">
      <c r="A639" s="3">
        <v>46649</v>
      </c>
      <c r="B639" s="2" t="str">
        <f t="shared" si="45"/>
        <v>Sep-2027</v>
      </c>
      <c r="C639">
        <v>99</v>
      </c>
      <c r="D639">
        <v>156</v>
      </c>
      <c r="E639">
        <v>139</v>
      </c>
      <c r="F639" s="1">
        <v>7848</v>
      </c>
      <c r="G639">
        <v>240</v>
      </c>
      <c r="H639">
        <f t="shared" si="46"/>
        <v>0.89102564102564108</v>
      </c>
      <c r="I639">
        <f t="shared" si="47"/>
        <v>3.0581039755351681E-2</v>
      </c>
      <c r="J639">
        <f t="shared" si="48"/>
        <v>-141</v>
      </c>
      <c r="K639" t="str">
        <f t="shared" si="49"/>
        <v>Sep-2027</v>
      </c>
    </row>
    <row r="640" spans="1:11" x14ac:dyDescent="0.3">
      <c r="A640" s="3">
        <v>46650</v>
      </c>
      <c r="B640" s="2" t="str">
        <f t="shared" si="45"/>
        <v>Sep-2027</v>
      </c>
      <c r="C640">
        <v>107</v>
      </c>
      <c r="D640">
        <v>170</v>
      </c>
      <c r="E640">
        <v>133</v>
      </c>
      <c r="F640" s="1">
        <v>7826</v>
      </c>
      <c r="G640">
        <v>343</v>
      </c>
      <c r="H640">
        <f t="shared" si="46"/>
        <v>0.78235294117647058</v>
      </c>
      <c r="I640">
        <f t="shared" si="47"/>
        <v>4.3828264758497319E-2</v>
      </c>
      <c r="J640">
        <f t="shared" si="48"/>
        <v>-236</v>
      </c>
      <c r="K640" t="str">
        <f t="shared" si="49"/>
        <v>Sep-2027</v>
      </c>
    </row>
    <row r="641" spans="1:11" x14ac:dyDescent="0.3">
      <c r="A641" s="3">
        <v>46651</v>
      </c>
      <c r="B641" s="2" t="str">
        <f t="shared" si="45"/>
        <v>Sep-2027</v>
      </c>
      <c r="C641">
        <v>80</v>
      </c>
      <c r="D641">
        <v>122</v>
      </c>
      <c r="E641">
        <v>152</v>
      </c>
      <c r="F641" s="1">
        <v>8474</v>
      </c>
      <c r="G641">
        <v>351</v>
      </c>
      <c r="H641">
        <f t="shared" si="46"/>
        <v>1.2459016393442623</v>
      </c>
      <c r="I641">
        <f t="shared" si="47"/>
        <v>4.1420816615529855E-2</v>
      </c>
      <c r="J641">
        <f t="shared" si="48"/>
        <v>-271</v>
      </c>
      <c r="K641" t="str">
        <f t="shared" si="49"/>
        <v>Sep-2027</v>
      </c>
    </row>
    <row r="642" spans="1:11" x14ac:dyDescent="0.3">
      <c r="A642" s="3">
        <v>46652</v>
      </c>
      <c r="B642" s="2" t="str">
        <f t="shared" si="45"/>
        <v>Sep-2027</v>
      </c>
      <c r="C642">
        <v>57</v>
      </c>
      <c r="D642">
        <v>162</v>
      </c>
      <c r="E642">
        <v>193</v>
      </c>
      <c r="F642" s="1">
        <v>8569</v>
      </c>
      <c r="G642">
        <v>307</v>
      </c>
      <c r="H642">
        <f t="shared" si="46"/>
        <v>1.191358024691358</v>
      </c>
      <c r="I642">
        <f t="shared" si="47"/>
        <v>3.5826817598319523E-2</v>
      </c>
      <c r="J642">
        <f t="shared" si="48"/>
        <v>-250</v>
      </c>
      <c r="K642" t="str">
        <f t="shared" si="49"/>
        <v>Sep-2027</v>
      </c>
    </row>
    <row r="643" spans="1:11" x14ac:dyDescent="0.3">
      <c r="A643" s="3">
        <v>46653</v>
      </c>
      <c r="B643" s="2" t="str">
        <f t="shared" ref="B643:B706" si="50">TEXT(A643,"mmm-yyyy")</f>
        <v>Sep-2027</v>
      </c>
      <c r="C643">
        <v>161</v>
      </c>
      <c r="D643">
        <v>304</v>
      </c>
      <c r="E643">
        <v>211</v>
      </c>
      <c r="F643" s="1">
        <v>8572</v>
      </c>
      <c r="G643">
        <v>272</v>
      </c>
      <c r="H643">
        <f t="shared" ref="H643:H706" si="51">E643/D643</f>
        <v>0.69407894736842102</v>
      </c>
      <c r="I643">
        <f t="shared" ref="I643:I706" si="52">G643/F643</f>
        <v>3.1731217918805413E-2</v>
      </c>
      <c r="J643">
        <f t="shared" ref="J643:J706" si="53">C643-G643</f>
        <v>-111</v>
      </c>
      <c r="K643" t="str">
        <f t="shared" ref="K643:K706" si="54">TEXT(A643,"mmm-yyyy")</f>
        <v>Sep-2027</v>
      </c>
    </row>
    <row r="644" spans="1:11" x14ac:dyDescent="0.3">
      <c r="A644" s="3">
        <v>46654</v>
      </c>
      <c r="B644" s="2" t="str">
        <f t="shared" si="50"/>
        <v>Sep-2027</v>
      </c>
      <c r="C644">
        <v>205</v>
      </c>
      <c r="D644">
        <v>294</v>
      </c>
      <c r="E644">
        <v>177</v>
      </c>
      <c r="F644" s="1">
        <v>8571</v>
      </c>
      <c r="G644">
        <v>277</v>
      </c>
      <c r="H644">
        <f t="shared" si="51"/>
        <v>0.60204081632653061</v>
      </c>
      <c r="I644">
        <f t="shared" si="52"/>
        <v>3.2318282580795707E-2</v>
      </c>
      <c r="J644">
        <f t="shared" si="53"/>
        <v>-72</v>
      </c>
      <c r="K644" t="str">
        <f t="shared" si="54"/>
        <v>Sep-2027</v>
      </c>
    </row>
    <row r="645" spans="1:11" x14ac:dyDescent="0.3">
      <c r="A645" s="3">
        <v>46655</v>
      </c>
      <c r="B645" s="2" t="str">
        <f t="shared" si="50"/>
        <v>Sep-2027</v>
      </c>
      <c r="C645">
        <v>100</v>
      </c>
      <c r="D645">
        <v>255</v>
      </c>
      <c r="E645">
        <v>236</v>
      </c>
      <c r="F645" s="1">
        <v>8445</v>
      </c>
      <c r="G645">
        <v>288</v>
      </c>
      <c r="H645">
        <f t="shared" si="51"/>
        <v>0.92549019607843142</v>
      </c>
      <c r="I645">
        <f t="shared" si="52"/>
        <v>3.4103019538188277E-2</v>
      </c>
      <c r="J645">
        <f t="shared" si="53"/>
        <v>-188</v>
      </c>
      <c r="K645" t="str">
        <f t="shared" si="54"/>
        <v>Sep-2027</v>
      </c>
    </row>
    <row r="646" spans="1:11" x14ac:dyDescent="0.3">
      <c r="A646" s="3">
        <v>46656</v>
      </c>
      <c r="B646" s="2" t="str">
        <f t="shared" si="50"/>
        <v>Sep-2027</v>
      </c>
      <c r="C646">
        <v>269</v>
      </c>
      <c r="D646">
        <v>412</v>
      </c>
      <c r="E646">
        <v>204</v>
      </c>
      <c r="F646" s="1">
        <v>8672</v>
      </c>
      <c r="G646">
        <v>392</v>
      </c>
      <c r="H646">
        <f t="shared" si="51"/>
        <v>0.49514563106796117</v>
      </c>
      <c r="I646">
        <f t="shared" si="52"/>
        <v>4.5202952029520294E-2</v>
      </c>
      <c r="J646">
        <f t="shared" si="53"/>
        <v>-123</v>
      </c>
      <c r="K646" t="str">
        <f t="shared" si="54"/>
        <v>Sep-2027</v>
      </c>
    </row>
    <row r="647" spans="1:11" x14ac:dyDescent="0.3">
      <c r="A647" s="3">
        <v>46657</v>
      </c>
      <c r="B647" s="2" t="str">
        <f t="shared" si="50"/>
        <v>Sep-2027</v>
      </c>
      <c r="C647">
        <v>168</v>
      </c>
      <c r="D647">
        <v>285</v>
      </c>
      <c r="E647">
        <v>210</v>
      </c>
      <c r="F647" s="1">
        <v>8681</v>
      </c>
      <c r="G647">
        <v>304</v>
      </c>
      <c r="H647">
        <f t="shared" si="51"/>
        <v>0.73684210526315785</v>
      </c>
      <c r="I647">
        <f t="shared" si="52"/>
        <v>3.5019007026840222E-2</v>
      </c>
      <c r="J647">
        <f t="shared" si="53"/>
        <v>-136</v>
      </c>
      <c r="K647" t="str">
        <f t="shared" si="54"/>
        <v>Sep-2027</v>
      </c>
    </row>
    <row r="648" spans="1:11" x14ac:dyDescent="0.3">
      <c r="A648" s="3">
        <v>46658</v>
      </c>
      <c r="B648" s="2" t="str">
        <f t="shared" si="50"/>
        <v>Sep-2027</v>
      </c>
      <c r="C648">
        <v>187</v>
      </c>
      <c r="D648">
        <v>310</v>
      </c>
      <c r="E648">
        <v>247</v>
      </c>
      <c r="F648" s="1">
        <v>8606</v>
      </c>
      <c r="G648">
        <v>250</v>
      </c>
      <c r="H648">
        <f t="shared" si="51"/>
        <v>0.79677419354838708</v>
      </c>
      <c r="I648">
        <f t="shared" si="52"/>
        <v>2.9049500348594003E-2</v>
      </c>
      <c r="J648">
        <f t="shared" si="53"/>
        <v>-63</v>
      </c>
      <c r="K648" t="str">
        <f t="shared" si="54"/>
        <v>Sep-2027</v>
      </c>
    </row>
    <row r="649" spans="1:11" x14ac:dyDescent="0.3">
      <c r="A649" s="3">
        <v>46659</v>
      </c>
      <c r="B649" s="2" t="str">
        <f t="shared" si="50"/>
        <v>Sep-2027</v>
      </c>
      <c r="C649">
        <v>133</v>
      </c>
      <c r="D649">
        <v>287</v>
      </c>
      <c r="E649">
        <v>189</v>
      </c>
      <c r="F649" s="1">
        <v>8590</v>
      </c>
      <c r="G649">
        <v>261</v>
      </c>
      <c r="H649">
        <f t="shared" si="51"/>
        <v>0.65853658536585369</v>
      </c>
      <c r="I649">
        <f t="shared" si="52"/>
        <v>3.038416763678696E-2</v>
      </c>
      <c r="J649">
        <f t="shared" si="53"/>
        <v>-128</v>
      </c>
      <c r="K649" t="str">
        <f t="shared" si="54"/>
        <v>Sep-2027</v>
      </c>
    </row>
    <row r="650" spans="1:11" x14ac:dyDescent="0.3">
      <c r="A650" s="3">
        <v>46660</v>
      </c>
      <c r="B650" s="2" t="str">
        <f t="shared" si="50"/>
        <v>Sep-2027</v>
      </c>
      <c r="C650">
        <v>180</v>
      </c>
      <c r="D650">
        <v>337</v>
      </c>
      <c r="E650">
        <v>219</v>
      </c>
      <c r="F650" s="1">
        <v>8485</v>
      </c>
      <c r="G650">
        <v>375</v>
      </c>
      <c r="H650">
        <f t="shared" si="51"/>
        <v>0.64985163204747776</v>
      </c>
      <c r="I650">
        <f t="shared" si="52"/>
        <v>4.4195639363582791E-2</v>
      </c>
      <c r="J650">
        <f t="shared" si="53"/>
        <v>-195</v>
      </c>
      <c r="K650" t="str">
        <f t="shared" si="54"/>
        <v>Sep-2027</v>
      </c>
    </row>
    <row r="651" spans="1:11" x14ac:dyDescent="0.3">
      <c r="A651" s="3">
        <v>46661</v>
      </c>
      <c r="B651" s="2" t="str">
        <f t="shared" si="50"/>
        <v>Oct-2027</v>
      </c>
      <c r="C651">
        <v>153</v>
      </c>
      <c r="D651">
        <v>253</v>
      </c>
      <c r="E651">
        <v>286</v>
      </c>
      <c r="F651" s="1">
        <v>8790</v>
      </c>
      <c r="G651">
        <v>332</v>
      </c>
      <c r="H651">
        <f t="shared" si="51"/>
        <v>1.1304347826086956</v>
      </c>
      <c r="I651">
        <f t="shared" si="52"/>
        <v>3.7770193401592718E-2</v>
      </c>
      <c r="J651">
        <f t="shared" si="53"/>
        <v>-179</v>
      </c>
      <c r="K651" t="str">
        <f t="shared" si="54"/>
        <v>Oct-2027</v>
      </c>
    </row>
    <row r="652" spans="1:11" x14ac:dyDescent="0.3">
      <c r="A652" s="3">
        <v>46662</v>
      </c>
      <c r="B652" s="2" t="str">
        <f t="shared" si="50"/>
        <v>Oct-2027</v>
      </c>
      <c r="C652">
        <v>209</v>
      </c>
      <c r="D652">
        <v>353</v>
      </c>
      <c r="E652">
        <v>232</v>
      </c>
      <c r="F652" s="1">
        <v>8704</v>
      </c>
      <c r="G652">
        <v>267</v>
      </c>
      <c r="H652">
        <f t="shared" si="51"/>
        <v>0.65722379603399439</v>
      </c>
      <c r="I652">
        <f t="shared" si="52"/>
        <v>3.0675551470588234E-2</v>
      </c>
      <c r="J652">
        <f t="shared" si="53"/>
        <v>-58</v>
      </c>
      <c r="K652" t="str">
        <f t="shared" si="54"/>
        <v>Oct-2027</v>
      </c>
    </row>
    <row r="653" spans="1:11" x14ac:dyDescent="0.3">
      <c r="A653" s="3">
        <v>46663</v>
      </c>
      <c r="B653" s="2" t="str">
        <f t="shared" si="50"/>
        <v>Oct-2027</v>
      </c>
      <c r="C653">
        <v>167</v>
      </c>
      <c r="D653">
        <v>326</v>
      </c>
      <c r="E653">
        <v>213</v>
      </c>
      <c r="F653" s="1">
        <v>8654</v>
      </c>
      <c r="G653">
        <v>245</v>
      </c>
      <c r="H653">
        <f t="shared" si="51"/>
        <v>0.65337423312883436</v>
      </c>
      <c r="I653">
        <f t="shared" si="52"/>
        <v>2.8310607811416685E-2</v>
      </c>
      <c r="J653">
        <f t="shared" si="53"/>
        <v>-78</v>
      </c>
      <c r="K653" t="str">
        <f t="shared" si="54"/>
        <v>Oct-2027</v>
      </c>
    </row>
    <row r="654" spans="1:11" x14ac:dyDescent="0.3">
      <c r="A654" s="3">
        <v>46664</v>
      </c>
      <c r="B654" s="2" t="str">
        <f t="shared" si="50"/>
        <v>Oct-2027</v>
      </c>
      <c r="C654">
        <v>224</v>
      </c>
      <c r="D654">
        <v>315</v>
      </c>
      <c r="E654">
        <v>152</v>
      </c>
      <c r="F654" s="1">
        <v>8492</v>
      </c>
      <c r="G654">
        <v>237</v>
      </c>
      <c r="H654">
        <f t="shared" si="51"/>
        <v>0.48253968253968255</v>
      </c>
      <c r="I654">
        <f t="shared" si="52"/>
        <v>2.7908619877531796E-2</v>
      </c>
      <c r="J654">
        <f t="shared" si="53"/>
        <v>-13</v>
      </c>
      <c r="K654" t="str">
        <f t="shared" si="54"/>
        <v>Oct-2027</v>
      </c>
    </row>
    <row r="655" spans="1:11" x14ac:dyDescent="0.3">
      <c r="A655" s="3">
        <v>46665</v>
      </c>
      <c r="B655" s="2" t="str">
        <f t="shared" si="50"/>
        <v>Oct-2027</v>
      </c>
      <c r="C655">
        <v>132</v>
      </c>
      <c r="D655">
        <v>243</v>
      </c>
      <c r="E655">
        <v>183</v>
      </c>
      <c r="F655" s="1">
        <v>8352</v>
      </c>
      <c r="G655">
        <v>293</v>
      </c>
      <c r="H655">
        <f t="shared" si="51"/>
        <v>0.75308641975308643</v>
      </c>
      <c r="I655">
        <f t="shared" si="52"/>
        <v>3.508141762452107E-2</v>
      </c>
      <c r="J655">
        <f t="shared" si="53"/>
        <v>-161</v>
      </c>
      <c r="K655" t="str">
        <f t="shared" si="54"/>
        <v>Oct-2027</v>
      </c>
    </row>
    <row r="656" spans="1:11" x14ac:dyDescent="0.3">
      <c r="A656" s="3">
        <v>46666</v>
      </c>
      <c r="B656" s="2" t="str">
        <f t="shared" si="50"/>
        <v>Oct-2027</v>
      </c>
      <c r="C656">
        <v>218</v>
      </c>
      <c r="D656">
        <v>283</v>
      </c>
      <c r="E656">
        <v>208</v>
      </c>
      <c r="F656" s="1">
        <v>8159</v>
      </c>
      <c r="G656">
        <v>310</v>
      </c>
      <c r="H656">
        <f t="shared" si="51"/>
        <v>0.73498233215547704</v>
      </c>
      <c r="I656">
        <f t="shared" si="52"/>
        <v>3.7994852310332151E-2</v>
      </c>
      <c r="J656">
        <f t="shared" si="53"/>
        <v>-92</v>
      </c>
      <c r="K656" t="str">
        <f t="shared" si="54"/>
        <v>Oct-2027</v>
      </c>
    </row>
    <row r="657" spans="1:11" x14ac:dyDescent="0.3">
      <c r="A657" s="3">
        <v>46667</v>
      </c>
      <c r="B657" s="2" t="str">
        <f t="shared" si="50"/>
        <v>Oct-2027</v>
      </c>
      <c r="C657">
        <v>118</v>
      </c>
      <c r="D657">
        <v>245</v>
      </c>
      <c r="E657">
        <v>160</v>
      </c>
      <c r="F657" s="1">
        <v>8117</v>
      </c>
      <c r="G657">
        <v>256</v>
      </c>
      <c r="H657">
        <f t="shared" si="51"/>
        <v>0.65306122448979587</v>
      </c>
      <c r="I657">
        <f t="shared" si="52"/>
        <v>3.1538745842059873E-2</v>
      </c>
      <c r="J657">
        <f t="shared" si="53"/>
        <v>-138</v>
      </c>
      <c r="K657" t="str">
        <f t="shared" si="54"/>
        <v>Oct-2027</v>
      </c>
    </row>
    <row r="658" spans="1:11" x14ac:dyDescent="0.3">
      <c r="A658" s="3">
        <v>46668</v>
      </c>
      <c r="B658" s="2" t="str">
        <f t="shared" si="50"/>
        <v>Oct-2027</v>
      </c>
      <c r="C658">
        <v>81</v>
      </c>
      <c r="D658">
        <v>230</v>
      </c>
      <c r="E658">
        <v>242</v>
      </c>
      <c r="F658" s="1">
        <v>8017</v>
      </c>
      <c r="G658">
        <v>202</v>
      </c>
      <c r="H658">
        <f t="shared" si="51"/>
        <v>1.0521739130434782</v>
      </c>
      <c r="I658">
        <f t="shared" si="52"/>
        <v>2.5196457527753523E-2</v>
      </c>
      <c r="J658">
        <f t="shared" si="53"/>
        <v>-121</v>
      </c>
      <c r="K658" t="str">
        <f t="shared" si="54"/>
        <v>Oct-2027</v>
      </c>
    </row>
    <row r="659" spans="1:11" x14ac:dyDescent="0.3">
      <c r="A659" s="3">
        <v>46669</v>
      </c>
      <c r="B659" s="2" t="str">
        <f t="shared" si="50"/>
        <v>Oct-2027</v>
      </c>
      <c r="C659">
        <v>236</v>
      </c>
      <c r="D659">
        <v>330</v>
      </c>
      <c r="E659">
        <v>222</v>
      </c>
      <c r="F659" s="1">
        <v>7796</v>
      </c>
      <c r="G659">
        <v>213</v>
      </c>
      <c r="H659">
        <f t="shared" si="51"/>
        <v>0.67272727272727273</v>
      </c>
      <c r="I659">
        <f t="shared" si="52"/>
        <v>2.7321703437660338E-2</v>
      </c>
      <c r="J659">
        <f t="shared" si="53"/>
        <v>23</v>
      </c>
      <c r="K659" t="str">
        <f t="shared" si="54"/>
        <v>Oct-2027</v>
      </c>
    </row>
    <row r="660" spans="1:11" x14ac:dyDescent="0.3">
      <c r="A660" s="3">
        <v>46670</v>
      </c>
      <c r="B660" s="2" t="str">
        <f t="shared" si="50"/>
        <v>Oct-2027</v>
      </c>
      <c r="C660">
        <v>196</v>
      </c>
      <c r="D660">
        <v>306</v>
      </c>
      <c r="E660">
        <v>187</v>
      </c>
      <c r="F660" s="1">
        <v>7534</v>
      </c>
      <c r="G660">
        <v>266</v>
      </c>
      <c r="H660">
        <f t="shared" si="51"/>
        <v>0.61111111111111116</v>
      </c>
      <c r="I660">
        <f t="shared" si="52"/>
        <v>3.5306610034510223E-2</v>
      </c>
      <c r="J660">
        <f t="shared" si="53"/>
        <v>-70</v>
      </c>
      <c r="K660" t="str">
        <f t="shared" si="54"/>
        <v>Oct-2027</v>
      </c>
    </row>
    <row r="661" spans="1:11" x14ac:dyDescent="0.3">
      <c r="A661" s="3">
        <v>46671</v>
      </c>
      <c r="B661" s="2" t="str">
        <f t="shared" si="50"/>
        <v>Oct-2027</v>
      </c>
      <c r="C661">
        <v>113</v>
      </c>
      <c r="D661">
        <v>280</v>
      </c>
      <c r="E661">
        <v>237</v>
      </c>
      <c r="F661" s="1">
        <v>7490</v>
      </c>
      <c r="G661">
        <v>320</v>
      </c>
      <c r="H661">
        <f t="shared" si="51"/>
        <v>0.84642857142857142</v>
      </c>
      <c r="I661">
        <f t="shared" si="52"/>
        <v>4.2723631508678236E-2</v>
      </c>
      <c r="J661">
        <f t="shared" si="53"/>
        <v>-207</v>
      </c>
      <c r="K661" t="str">
        <f t="shared" si="54"/>
        <v>Oct-2027</v>
      </c>
    </row>
    <row r="662" spans="1:11" x14ac:dyDescent="0.3">
      <c r="A662" s="3">
        <v>46672</v>
      </c>
      <c r="B662" s="2" t="str">
        <f t="shared" si="50"/>
        <v>Oct-2027</v>
      </c>
      <c r="C662">
        <v>239</v>
      </c>
      <c r="D662">
        <v>367</v>
      </c>
      <c r="E662">
        <v>224</v>
      </c>
      <c r="F662" s="1">
        <v>7356</v>
      </c>
      <c r="G662">
        <v>229</v>
      </c>
      <c r="H662">
        <f t="shared" si="51"/>
        <v>0.61035422343324253</v>
      </c>
      <c r="I662">
        <f t="shared" si="52"/>
        <v>3.1131049483414899E-2</v>
      </c>
      <c r="J662">
        <f t="shared" si="53"/>
        <v>10</v>
      </c>
      <c r="K662" t="str">
        <f t="shared" si="54"/>
        <v>Oct-2027</v>
      </c>
    </row>
    <row r="663" spans="1:11" x14ac:dyDescent="0.3">
      <c r="A663" s="3">
        <v>46673</v>
      </c>
      <c r="B663" s="2" t="str">
        <f t="shared" si="50"/>
        <v>Oct-2027</v>
      </c>
      <c r="C663">
        <v>152</v>
      </c>
      <c r="D663">
        <v>272</v>
      </c>
      <c r="E663">
        <v>214</v>
      </c>
      <c r="F663" s="1">
        <v>7376</v>
      </c>
      <c r="G663">
        <v>234</v>
      </c>
      <c r="H663">
        <f t="shared" si="51"/>
        <v>0.78676470588235292</v>
      </c>
      <c r="I663">
        <f t="shared" si="52"/>
        <v>3.1724511930585682E-2</v>
      </c>
      <c r="J663">
        <f t="shared" si="53"/>
        <v>-82</v>
      </c>
      <c r="K663" t="str">
        <f t="shared" si="54"/>
        <v>Oct-2027</v>
      </c>
    </row>
    <row r="664" spans="1:11" x14ac:dyDescent="0.3">
      <c r="A664" s="3">
        <v>46674</v>
      </c>
      <c r="B664" s="2" t="str">
        <f t="shared" si="50"/>
        <v>Oct-2027</v>
      </c>
      <c r="C664">
        <v>170</v>
      </c>
      <c r="D664">
        <v>297</v>
      </c>
      <c r="E664">
        <v>196</v>
      </c>
      <c r="F664" s="1">
        <v>7344</v>
      </c>
      <c r="G664">
        <v>248</v>
      </c>
      <c r="H664">
        <f t="shared" si="51"/>
        <v>0.65993265993265993</v>
      </c>
      <c r="I664">
        <f t="shared" si="52"/>
        <v>3.3769063180827889E-2</v>
      </c>
      <c r="J664">
        <f t="shared" si="53"/>
        <v>-78</v>
      </c>
      <c r="K664" t="str">
        <f t="shared" si="54"/>
        <v>Oct-2027</v>
      </c>
    </row>
    <row r="665" spans="1:11" x14ac:dyDescent="0.3">
      <c r="A665" s="3">
        <v>46675</v>
      </c>
      <c r="B665" s="2" t="str">
        <f t="shared" si="50"/>
        <v>Oct-2027</v>
      </c>
      <c r="C665">
        <v>191</v>
      </c>
      <c r="D665">
        <v>283</v>
      </c>
      <c r="E665">
        <v>192</v>
      </c>
      <c r="F665" s="1">
        <v>7380</v>
      </c>
      <c r="G665">
        <v>272</v>
      </c>
      <c r="H665">
        <f t="shared" si="51"/>
        <v>0.67844522968197885</v>
      </c>
      <c r="I665">
        <f t="shared" si="52"/>
        <v>3.685636856368564E-2</v>
      </c>
      <c r="J665">
        <f t="shared" si="53"/>
        <v>-81</v>
      </c>
      <c r="K665" t="str">
        <f t="shared" si="54"/>
        <v>Oct-2027</v>
      </c>
    </row>
    <row r="666" spans="1:11" x14ac:dyDescent="0.3">
      <c r="A666" s="3">
        <v>46676</v>
      </c>
      <c r="B666" s="2" t="str">
        <f t="shared" si="50"/>
        <v>Oct-2027</v>
      </c>
      <c r="C666">
        <v>109</v>
      </c>
      <c r="D666">
        <v>214</v>
      </c>
      <c r="E666">
        <v>173</v>
      </c>
      <c r="F666" s="1">
        <v>7795</v>
      </c>
      <c r="G666">
        <v>370</v>
      </c>
      <c r="H666">
        <f t="shared" si="51"/>
        <v>0.80841121495327106</v>
      </c>
      <c r="I666">
        <f t="shared" si="52"/>
        <v>4.7466324567030149E-2</v>
      </c>
      <c r="J666">
        <f t="shared" si="53"/>
        <v>-261</v>
      </c>
      <c r="K666" t="str">
        <f t="shared" si="54"/>
        <v>Oct-2027</v>
      </c>
    </row>
    <row r="667" spans="1:11" x14ac:dyDescent="0.3">
      <c r="A667" s="3">
        <v>46677</v>
      </c>
      <c r="B667" s="2" t="str">
        <f t="shared" si="50"/>
        <v>Oct-2027</v>
      </c>
      <c r="C667">
        <v>155</v>
      </c>
      <c r="D667">
        <v>212</v>
      </c>
      <c r="E667">
        <v>181</v>
      </c>
      <c r="F667" s="1">
        <v>7876</v>
      </c>
      <c r="G667">
        <v>283</v>
      </c>
      <c r="H667">
        <f t="shared" si="51"/>
        <v>0.85377358490566035</v>
      </c>
      <c r="I667">
        <f t="shared" si="52"/>
        <v>3.5931945149822245E-2</v>
      </c>
      <c r="J667">
        <f t="shared" si="53"/>
        <v>-128</v>
      </c>
      <c r="K667" t="str">
        <f t="shared" si="54"/>
        <v>Oct-2027</v>
      </c>
    </row>
    <row r="668" spans="1:11" x14ac:dyDescent="0.3">
      <c r="A668" s="3">
        <v>46678</v>
      </c>
      <c r="B668" s="2" t="str">
        <f t="shared" si="50"/>
        <v>Oct-2027</v>
      </c>
      <c r="C668">
        <v>119</v>
      </c>
      <c r="D668">
        <v>209</v>
      </c>
      <c r="E668">
        <v>152</v>
      </c>
      <c r="F668" s="1">
        <v>7922</v>
      </c>
      <c r="G668">
        <v>187</v>
      </c>
      <c r="H668">
        <f t="shared" si="51"/>
        <v>0.72727272727272729</v>
      </c>
      <c r="I668">
        <f t="shared" si="52"/>
        <v>2.3605150214592276E-2</v>
      </c>
      <c r="J668">
        <f t="shared" si="53"/>
        <v>-68</v>
      </c>
      <c r="K668" t="str">
        <f t="shared" si="54"/>
        <v>Oct-2027</v>
      </c>
    </row>
    <row r="669" spans="1:11" x14ac:dyDescent="0.3">
      <c r="A669" s="3">
        <v>46679</v>
      </c>
      <c r="B669" s="2" t="str">
        <f t="shared" si="50"/>
        <v>Oct-2027</v>
      </c>
      <c r="C669">
        <v>143</v>
      </c>
      <c r="D669">
        <v>203</v>
      </c>
      <c r="E669">
        <v>163</v>
      </c>
      <c r="F669" s="1">
        <v>7826</v>
      </c>
      <c r="G669">
        <v>265</v>
      </c>
      <c r="H669">
        <f t="shared" si="51"/>
        <v>0.80295566502463056</v>
      </c>
      <c r="I669">
        <f t="shared" si="52"/>
        <v>3.3861487349859443E-2</v>
      </c>
      <c r="J669">
        <f t="shared" si="53"/>
        <v>-122</v>
      </c>
      <c r="K669" t="str">
        <f t="shared" si="54"/>
        <v>Oct-2027</v>
      </c>
    </row>
    <row r="670" spans="1:11" x14ac:dyDescent="0.3">
      <c r="A670" s="3">
        <v>46680</v>
      </c>
      <c r="B670" s="2" t="str">
        <f t="shared" si="50"/>
        <v>Oct-2027</v>
      </c>
      <c r="C670">
        <v>105</v>
      </c>
      <c r="D670">
        <v>210</v>
      </c>
      <c r="E670">
        <v>149</v>
      </c>
      <c r="F670" s="1">
        <v>7900</v>
      </c>
      <c r="G670">
        <v>329</v>
      </c>
      <c r="H670">
        <f t="shared" si="51"/>
        <v>0.70952380952380956</v>
      </c>
      <c r="I670">
        <f t="shared" si="52"/>
        <v>4.1645569620253162E-2</v>
      </c>
      <c r="J670">
        <f t="shared" si="53"/>
        <v>-224</v>
      </c>
      <c r="K670" t="str">
        <f t="shared" si="54"/>
        <v>Oct-2027</v>
      </c>
    </row>
    <row r="671" spans="1:11" x14ac:dyDescent="0.3">
      <c r="A671" s="3">
        <v>46681</v>
      </c>
      <c r="B671" s="2" t="str">
        <f t="shared" si="50"/>
        <v>Oct-2027</v>
      </c>
      <c r="C671">
        <v>119</v>
      </c>
      <c r="D671">
        <v>219</v>
      </c>
      <c r="E671">
        <v>210</v>
      </c>
      <c r="F671" s="1">
        <v>8178</v>
      </c>
      <c r="G671">
        <v>284</v>
      </c>
      <c r="H671">
        <f t="shared" si="51"/>
        <v>0.95890410958904104</v>
      </c>
      <c r="I671">
        <f t="shared" si="52"/>
        <v>3.4727317192467598E-2</v>
      </c>
      <c r="J671">
        <f t="shared" si="53"/>
        <v>-165</v>
      </c>
      <c r="K671" t="str">
        <f t="shared" si="54"/>
        <v>Oct-2027</v>
      </c>
    </row>
    <row r="672" spans="1:11" x14ac:dyDescent="0.3">
      <c r="A672" s="3">
        <v>46682</v>
      </c>
      <c r="B672" s="2" t="str">
        <f t="shared" si="50"/>
        <v>Oct-2027</v>
      </c>
      <c r="C672">
        <v>148</v>
      </c>
      <c r="D672">
        <v>245</v>
      </c>
      <c r="E672">
        <v>175</v>
      </c>
      <c r="F672" s="1">
        <v>8175</v>
      </c>
      <c r="G672">
        <v>260</v>
      </c>
      <c r="H672">
        <f t="shared" si="51"/>
        <v>0.7142857142857143</v>
      </c>
      <c r="I672">
        <f t="shared" si="52"/>
        <v>3.1804281345565746E-2</v>
      </c>
      <c r="J672">
        <f t="shared" si="53"/>
        <v>-112</v>
      </c>
      <c r="K672" t="str">
        <f t="shared" si="54"/>
        <v>Oct-2027</v>
      </c>
    </row>
    <row r="673" spans="1:11" x14ac:dyDescent="0.3">
      <c r="A673" s="3">
        <v>46683</v>
      </c>
      <c r="B673" s="2" t="str">
        <f t="shared" si="50"/>
        <v>Oct-2027</v>
      </c>
      <c r="C673">
        <v>142</v>
      </c>
      <c r="D673">
        <v>235</v>
      </c>
      <c r="E673">
        <v>139</v>
      </c>
      <c r="F673" s="1">
        <v>8068</v>
      </c>
      <c r="G673">
        <v>259</v>
      </c>
      <c r="H673">
        <f t="shared" si="51"/>
        <v>0.59148936170212763</v>
      </c>
      <c r="I673">
        <f t="shared" si="52"/>
        <v>3.2102131879028259E-2</v>
      </c>
      <c r="J673">
        <f t="shared" si="53"/>
        <v>-117</v>
      </c>
      <c r="K673" t="str">
        <f t="shared" si="54"/>
        <v>Oct-2027</v>
      </c>
    </row>
    <row r="674" spans="1:11" x14ac:dyDescent="0.3">
      <c r="A674" s="3">
        <v>46684</v>
      </c>
      <c r="B674" s="2" t="str">
        <f t="shared" si="50"/>
        <v>Oct-2027</v>
      </c>
      <c r="C674">
        <v>118</v>
      </c>
      <c r="D674">
        <v>139</v>
      </c>
      <c r="E674">
        <v>168</v>
      </c>
      <c r="F674" s="1">
        <v>8054</v>
      </c>
      <c r="G674">
        <v>284</v>
      </c>
      <c r="H674">
        <f t="shared" si="51"/>
        <v>1.2086330935251799</v>
      </c>
      <c r="I674">
        <f t="shared" si="52"/>
        <v>3.5261981624037743E-2</v>
      </c>
      <c r="J674">
        <f t="shared" si="53"/>
        <v>-166</v>
      </c>
      <c r="K674" t="str">
        <f t="shared" si="54"/>
        <v>Oct-2027</v>
      </c>
    </row>
    <row r="675" spans="1:11" x14ac:dyDescent="0.3">
      <c r="A675" s="3">
        <v>46685</v>
      </c>
      <c r="B675" s="2" t="str">
        <f t="shared" si="50"/>
        <v>Oct-2027</v>
      </c>
      <c r="C675">
        <v>125</v>
      </c>
      <c r="D675">
        <v>232</v>
      </c>
      <c r="E675">
        <v>192</v>
      </c>
      <c r="F675" s="1">
        <v>7981</v>
      </c>
      <c r="G675">
        <v>304</v>
      </c>
      <c r="H675">
        <f t="shared" si="51"/>
        <v>0.82758620689655171</v>
      </c>
      <c r="I675">
        <f t="shared" si="52"/>
        <v>3.8090464854028318E-2</v>
      </c>
      <c r="J675">
        <f t="shared" si="53"/>
        <v>-179</v>
      </c>
      <c r="K675" t="str">
        <f t="shared" si="54"/>
        <v>Oct-2027</v>
      </c>
    </row>
    <row r="676" spans="1:11" x14ac:dyDescent="0.3">
      <c r="A676" s="3">
        <v>46686</v>
      </c>
      <c r="B676" s="2" t="str">
        <f t="shared" si="50"/>
        <v>Oct-2027</v>
      </c>
      <c r="C676">
        <v>156</v>
      </c>
      <c r="D676">
        <v>256</v>
      </c>
      <c r="E676">
        <v>176</v>
      </c>
      <c r="F676" s="1">
        <v>8158</v>
      </c>
      <c r="G676">
        <v>359</v>
      </c>
      <c r="H676">
        <f t="shared" si="51"/>
        <v>0.6875</v>
      </c>
      <c r="I676">
        <f t="shared" si="52"/>
        <v>4.4005883795047808E-2</v>
      </c>
      <c r="J676">
        <f t="shared" si="53"/>
        <v>-203</v>
      </c>
      <c r="K676" t="str">
        <f t="shared" si="54"/>
        <v>Oct-2027</v>
      </c>
    </row>
    <row r="677" spans="1:11" x14ac:dyDescent="0.3">
      <c r="A677" s="3">
        <v>46687</v>
      </c>
      <c r="B677" s="2" t="str">
        <f t="shared" si="50"/>
        <v>Oct-2027</v>
      </c>
      <c r="C677">
        <v>109</v>
      </c>
      <c r="D677">
        <v>245</v>
      </c>
      <c r="E677">
        <v>159</v>
      </c>
      <c r="F677" s="1">
        <v>8208</v>
      </c>
      <c r="G677">
        <v>267</v>
      </c>
      <c r="H677">
        <f t="shared" si="51"/>
        <v>0.6489795918367347</v>
      </c>
      <c r="I677">
        <f t="shared" si="52"/>
        <v>3.2529239766081873E-2</v>
      </c>
      <c r="J677">
        <f t="shared" si="53"/>
        <v>-158</v>
      </c>
      <c r="K677" t="str">
        <f t="shared" si="54"/>
        <v>Oct-2027</v>
      </c>
    </row>
    <row r="678" spans="1:11" x14ac:dyDescent="0.3">
      <c r="A678" s="3">
        <v>46688</v>
      </c>
      <c r="B678" s="2" t="str">
        <f t="shared" si="50"/>
        <v>Oct-2027</v>
      </c>
      <c r="C678">
        <v>167</v>
      </c>
      <c r="D678">
        <v>209</v>
      </c>
      <c r="E678">
        <v>157</v>
      </c>
      <c r="F678" s="1">
        <v>8079</v>
      </c>
      <c r="G678">
        <v>223</v>
      </c>
      <c r="H678">
        <f t="shared" si="51"/>
        <v>0.75119617224880386</v>
      </c>
      <c r="I678">
        <f t="shared" si="52"/>
        <v>2.7602426042827082E-2</v>
      </c>
      <c r="J678">
        <f t="shared" si="53"/>
        <v>-56</v>
      </c>
      <c r="K678" t="str">
        <f t="shared" si="54"/>
        <v>Oct-2027</v>
      </c>
    </row>
    <row r="679" spans="1:11" x14ac:dyDescent="0.3">
      <c r="A679" s="3">
        <v>46689</v>
      </c>
      <c r="B679" s="2" t="str">
        <f t="shared" si="50"/>
        <v>Oct-2027</v>
      </c>
      <c r="C679">
        <v>84</v>
      </c>
      <c r="D679">
        <v>171</v>
      </c>
      <c r="E679">
        <v>157</v>
      </c>
      <c r="F679" s="1">
        <v>7994</v>
      </c>
      <c r="G679">
        <v>235</v>
      </c>
      <c r="H679">
        <f t="shared" si="51"/>
        <v>0.91812865497076024</v>
      </c>
      <c r="I679">
        <f t="shared" si="52"/>
        <v>2.9397047785839379E-2</v>
      </c>
      <c r="J679">
        <f t="shared" si="53"/>
        <v>-151</v>
      </c>
      <c r="K679" t="str">
        <f t="shared" si="54"/>
        <v>Oct-2027</v>
      </c>
    </row>
    <row r="680" spans="1:11" x14ac:dyDescent="0.3">
      <c r="A680" s="3">
        <v>46690</v>
      </c>
      <c r="B680" s="2" t="str">
        <f t="shared" si="50"/>
        <v>Oct-2027</v>
      </c>
      <c r="C680">
        <v>87</v>
      </c>
      <c r="D680">
        <v>246</v>
      </c>
      <c r="E680">
        <v>173</v>
      </c>
      <c r="F680" s="1">
        <v>7847</v>
      </c>
      <c r="G680">
        <v>352</v>
      </c>
      <c r="H680">
        <f t="shared" si="51"/>
        <v>0.7032520325203252</v>
      </c>
      <c r="I680">
        <f t="shared" si="52"/>
        <v>4.4857907480565819E-2</v>
      </c>
      <c r="J680">
        <f t="shared" si="53"/>
        <v>-265</v>
      </c>
      <c r="K680" t="str">
        <f t="shared" si="54"/>
        <v>Oct-2027</v>
      </c>
    </row>
    <row r="681" spans="1:11" x14ac:dyDescent="0.3">
      <c r="A681" s="3">
        <v>46691</v>
      </c>
      <c r="B681" s="2" t="str">
        <f t="shared" si="50"/>
        <v>Oct-2027</v>
      </c>
      <c r="C681">
        <v>136</v>
      </c>
      <c r="D681">
        <v>276</v>
      </c>
      <c r="E681">
        <v>178</v>
      </c>
      <c r="F681" s="1">
        <v>8102</v>
      </c>
      <c r="G681">
        <v>331</v>
      </c>
      <c r="H681">
        <f t="shared" si="51"/>
        <v>0.64492753623188404</v>
      </c>
      <c r="I681">
        <f t="shared" si="52"/>
        <v>4.0854110096272524E-2</v>
      </c>
      <c r="J681">
        <f t="shared" si="53"/>
        <v>-195</v>
      </c>
      <c r="K681" t="str">
        <f t="shared" si="54"/>
        <v>Oct-2027</v>
      </c>
    </row>
    <row r="682" spans="1:11" x14ac:dyDescent="0.3">
      <c r="A682" s="3">
        <v>46692</v>
      </c>
      <c r="B682" s="2" t="str">
        <f t="shared" si="50"/>
        <v>Nov-2027</v>
      </c>
      <c r="C682">
        <v>166</v>
      </c>
      <c r="D682">
        <v>277</v>
      </c>
      <c r="E682">
        <v>229</v>
      </c>
      <c r="F682" s="1">
        <v>8097</v>
      </c>
      <c r="G682">
        <v>246</v>
      </c>
      <c r="H682">
        <f t="shared" si="51"/>
        <v>0.8267148014440433</v>
      </c>
      <c r="I682">
        <f t="shared" si="52"/>
        <v>3.0381622823267878E-2</v>
      </c>
      <c r="J682">
        <f t="shared" si="53"/>
        <v>-80</v>
      </c>
      <c r="K682" t="str">
        <f t="shared" si="54"/>
        <v>Nov-2027</v>
      </c>
    </row>
    <row r="683" spans="1:11" x14ac:dyDescent="0.3">
      <c r="A683" s="3">
        <v>46693</v>
      </c>
      <c r="B683" s="2" t="str">
        <f t="shared" si="50"/>
        <v>Nov-2027</v>
      </c>
      <c r="C683">
        <v>110</v>
      </c>
      <c r="D683">
        <v>272</v>
      </c>
      <c r="E683">
        <v>193</v>
      </c>
      <c r="F683" s="1">
        <v>8050</v>
      </c>
      <c r="G683">
        <v>221</v>
      </c>
      <c r="H683">
        <f t="shared" si="51"/>
        <v>0.7095588235294118</v>
      </c>
      <c r="I683">
        <f t="shared" si="52"/>
        <v>2.7453416149068322E-2</v>
      </c>
      <c r="J683">
        <f t="shared" si="53"/>
        <v>-111</v>
      </c>
      <c r="K683" t="str">
        <f t="shared" si="54"/>
        <v>Nov-2027</v>
      </c>
    </row>
    <row r="684" spans="1:11" x14ac:dyDescent="0.3">
      <c r="A684" s="3">
        <v>46694</v>
      </c>
      <c r="B684" s="2" t="str">
        <f t="shared" si="50"/>
        <v>Nov-2027</v>
      </c>
      <c r="C684">
        <v>202</v>
      </c>
      <c r="D684">
        <v>313</v>
      </c>
      <c r="E684">
        <v>158</v>
      </c>
      <c r="F684" s="1">
        <v>7931</v>
      </c>
      <c r="G684">
        <v>279</v>
      </c>
      <c r="H684">
        <f t="shared" si="51"/>
        <v>0.50479233226837061</v>
      </c>
      <c r="I684">
        <f t="shared" si="52"/>
        <v>3.517841381919052E-2</v>
      </c>
      <c r="J684">
        <f t="shared" si="53"/>
        <v>-77</v>
      </c>
      <c r="K684" t="str">
        <f t="shared" si="54"/>
        <v>Nov-2027</v>
      </c>
    </row>
    <row r="685" spans="1:11" x14ac:dyDescent="0.3">
      <c r="A685" s="3">
        <v>46695</v>
      </c>
      <c r="B685" s="2" t="str">
        <f t="shared" si="50"/>
        <v>Nov-2027</v>
      </c>
      <c r="C685">
        <v>134</v>
      </c>
      <c r="D685">
        <v>294</v>
      </c>
      <c r="E685">
        <v>186</v>
      </c>
      <c r="F685" s="1">
        <v>7885</v>
      </c>
      <c r="G685">
        <v>306</v>
      </c>
      <c r="H685">
        <f t="shared" si="51"/>
        <v>0.63265306122448983</v>
      </c>
      <c r="I685">
        <f t="shared" si="52"/>
        <v>3.8807863031071657E-2</v>
      </c>
      <c r="J685">
        <f t="shared" si="53"/>
        <v>-172</v>
      </c>
      <c r="K685" t="str">
        <f t="shared" si="54"/>
        <v>Nov-2027</v>
      </c>
    </row>
    <row r="686" spans="1:11" x14ac:dyDescent="0.3">
      <c r="A686" s="3">
        <v>46696</v>
      </c>
      <c r="B686" s="2" t="str">
        <f t="shared" si="50"/>
        <v>Nov-2027</v>
      </c>
      <c r="C686">
        <v>180</v>
      </c>
      <c r="D686">
        <v>280</v>
      </c>
      <c r="E686">
        <v>146</v>
      </c>
      <c r="F686" s="1">
        <v>7989</v>
      </c>
      <c r="G686">
        <v>308</v>
      </c>
      <c r="H686">
        <f t="shared" si="51"/>
        <v>0.52142857142857146</v>
      </c>
      <c r="I686">
        <f t="shared" si="52"/>
        <v>3.8553010389285269E-2</v>
      </c>
      <c r="J686">
        <f t="shared" si="53"/>
        <v>-128</v>
      </c>
      <c r="K686" t="str">
        <f t="shared" si="54"/>
        <v>Nov-2027</v>
      </c>
    </row>
    <row r="687" spans="1:11" x14ac:dyDescent="0.3">
      <c r="A687" s="3">
        <v>46697</v>
      </c>
      <c r="B687" s="2" t="str">
        <f t="shared" si="50"/>
        <v>Nov-2027</v>
      </c>
      <c r="C687">
        <v>108</v>
      </c>
      <c r="D687">
        <v>220</v>
      </c>
      <c r="E687">
        <v>213</v>
      </c>
      <c r="F687" s="1">
        <v>7915</v>
      </c>
      <c r="G687">
        <v>286</v>
      </c>
      <c r="H687">
        <f t="shared" si="51"/>
        <v>0.96818181818181814</v>
      </c>
      <c r="I687">
        <f t="shared" si="52"/>
        <v>3.6133922931143397E-2</v>
      </c>
      <c r="J687">
        <f t="shared" si="53"/>
        <v>-178</v>
      </c>
      <c r="K687" t="str">
        <f t="shared" si="54"/>
        <v>Nov-2027</v>
      </c>
    </row>
    <row r="688" spans="1:11" x14ac:dyDescent="0.3">
      <c r="A688" s="3">
        <v>46698</v>
      </c>
      <c r="B688" s="2" t="str">
        <f t="shared" si="50"/>
        <v>Nov-2027</v>
      </c>
      <c r="C688">
        <v>147</v>
      </c>
      <c r="D688">
        <v>276</v>
      </c>
      <c r="E688">
        <v>214</v>
      </c>
      <c r="F688" s="1">
        <v>7810</v>
      </c>
      <c r="G688">
        <v>181</v>
      </c>
      <c r="H688">
        <f t="shared" si="51"/>
        <v>0.77536231884057971</v>
      </c>
      <c r="I688">
        <f t="shared" si="52"/>
        <v>2.3175416133162614E-2</v>
      </c>
      <c r="J688">
        <f t="shared" si="53"/>
        <v>-34</v>
      </c>
      <c r="K688" t="str">
        <f t="shared" si="54"/>
        <v>Nov-2027</v>
      </c>
    </row>
    <row r="689" spans="1:11" x14ac:dyDescent="0.3">
      <c r="A689" s="3">
        <v>46699</v>
      </c>
      <c r="B689" s="2" t="str">
        <f t="shared" si="50"/>
        <v>Nov-2027</v>
      </c>
      <c r="C689">
        <v>104</v>
      </c>
      <c r="D689">
        <v>230</v>
      </c>
      <c r="E689">
        <v>206</v>
      </c>
      <c r="F689" s="1">
        <v>7567</v>
      </c>
      <c r="G689">
        <v>249</v>
      </c>
      <c r="H689">
        <f t="shared" si="51"/>
        <v>0.89565217391304353</v>
      </c>
      <c r="I689">
        <f t="shared" si="52"/>
        <v>3.2906039381525046E-2</v>
      </c>
      <c r="J689">
        <f t="shared" si="53"/>
        <v>-145</v>
      </c>
      <c r="K689" t="str">
        <f t="shared" si="54"/>
        <v>Nov-2027</v>
      </c>
    </row>
    <row r="690" spans="1:11" x14ac:dyDescent="0.3">
      <c r="A690" s="3">
        <v>46700</v>
      </c>
      <c r="B690" s="2" t="str">
        <f t="shared" si="50"/>
        <v>Nov-2027</v>
      </c>
      <c r="C690">
        <v>174</v>
      </c>
      <c r="D690">
        <v>285</v>
      </c>
      <c r="E690">
        <v>150</v>
      </c>
      <c r="F690" s="1">
        <v>7786</v>
      </c>
      <c r="G690">
        <v>340</v>
      </c>
      <c r="H690">
        <f t="shared" si="51"/>
        <v>0.52631578947368418</v>
      </c>
      <c r="I690">
        <f t="shared" si="52"/>
        <v>4.3668122270742356E-2</v>
      </c>
      <c r="J690">
        <f t="shared" si="53"/>
        <v>-166</v>
      </c>
      <c r="K690" t="str">
        <f t="shared" si="54"/>
        <v>Nov-2027</v>
      </c>
    </row>
    <row r="691" spans="1:11" x14ac:dyDescent="0.3">
      <c r="A691" s="3">
        <v>46701</v>
      </c>
      <c r="B691" s="2" t="str">
        <f t="shared" si="50"/>
        <v>Nov-2027</v>
      </c>
      <c r="C691">
        <v>113</v>
      </c>
      <c r="D691">
        <v>208</v>
      </c>
      <c r="E691">
        <v>159</v>
      </c>
      <c r="F691" s="1">
        <v>7885</v>
      </c>
      <c r="G691">
        <v>291</v>
      </c>
      <c r="H691">
        <f t="shared" si="51"/>
        <v>0.76442307692307687</v>
      </c>
      <c r="I691">
        <f t="shared" si="52"/>
        <v>3.690551680405834E-2</v>
      </c>
      <c r="J691">
        <f t="shared" si="53"/>
        <v>-178</v>
      </c>
      <c r="K691" t="str">
        <f t="shared" si="54"/>
        <v>Nov-2027</v>
      </c>
    </row>
    <row r="692" spans="1:11" x14ac:dyDescent="0.3">
      <c r="A692" s="3">
        <v>46702</v>
      </c>
      <c r="B692" s="2" t="str">
        <f t="shared" si="50"/>
        <v>Nov-2027</v>
      </c>
      <c r="C692">
        <v>88</v>
      </c>
      <c r="D692">
        <v>214</v>
      </c>
      <c r="E692">
        <v>160</v>
      </c>
      <c r="F692" s="1">
        <v>7859</v>
      </c>
      <c r="G692">
        <v>259</v>
      </c>
      <c r="H692">
        <f t="shared" si="51"/>
        <v>0.74766355140186913</v>
      </c>
      <c r="I692">
        <f t="shared" si="52"/>
        <v>3.295584679984731E-2</v>
      </c>
      <c r="J692">
        <f t="shared" si="53"/>
        <v>-171</v>
      </c>
      <c r="K692" t="str">
        <f t="shared" si="54"/>
        <v>Nov-2027</v>
      </c>
    </row>
    <row r="693" spans="1:11" x14ac:dyDescent="0.3">
      <c r="A693" s="3">
        <v>46703</v>
      </c>
      <c r="B693" s="2" t="str">
        <f t="shared" si="50"/>
        <v>Nov-2027</v>
      </c>
      <c r="C693">
        <v>130</v>
      </c>
      <c r="D693">
        <v>227</v>
      </c>
      <c r="E693">
        <v>192</v>
      </c>
      <c r="F693" s="1">
        <v>7870</v>
      </c>
      <c r="G693">
        <v>335</v>
      </c>
      <c r="H693">
        <f t="shared" si="51"/>
        <v>0.8458149779735683</v>
      </c>
      <c r="I693">
        <f t="shared" si="52"/>
        <v>4.2566709021601014E-2</v>
      </c>
      <c r="J693">
        <f t="shared" si="53"/>
        <v>-205</v>
      </c>
      <c r="K693" t="str">
        <f t="shared" si="54"/>
        <v>Nov-2027</v>
      </c>
    </row>
    <row r="694" spans="1:11" x14ac:dyDescent="0.3">
      <c r="A694" s="3">
        <v>46704</v>
      </c>
      <c r="B694" s="2" t="str">
        <f t="shared" si="50"/>
        <v>Nov-2027</v>
      </c>
      <c r="C694">
        <v>84</v>
      </c>
      <c r="D694">
        <v>158</v>
      </c>
      <c r="E694">
        <v>193</v>
      </c>
      <c r="F694" s="1">
        <v>7930</v>
      </c>
      <c r="G694">
        <v>307</v>
      </c>
      <c r="H694">
        <f t="shared" si="51"/>
        <v>1.2215189873417722</v>
      </c>
      <c r="I694">
        <f t="shared" si="52"/>
        <v>3.871374527112232E-2</v>
      </c>
      <c r="J694">
        <f t="shared" si="53"/>
        <v>-223</v>
      </c>
      <c r="K694" t="str">
        <f t="shared" si="54"/>
        <v>Nov-2027</v>
      </c>
    </row>
    <row r="695" spans="1:11" x14ac:dyDescent="0.3">
      <c r="A695" s="3">
        <v>46705</v>
      </c>
      <c r="B695" s="2" t="str">
        <f t="shared" si="50"/>
        <v>Nov-2027</v>
      </c>
      <c r="C695">
        <v>115</v>
      </c>
      <c r="D695">
        <v>216</v>
      </c>
      <c r="E695">
        <v>169</v>
      </c>
      <c r="F695" s="1">
        <v>7896</v>
      </c>
      <c r="G695">
        <v>200</v>
      </c>
      <c r="H695">
        <f t="shared" si="51"/>
        <v>0.78240740740740744</v>
      </c>
      <c r="I695">
        <f t="shared" si="52"/>
        <v>2.5329280648429583E-2</v>
      </c>
      <c r="J695">
        <f t="shared" si="53"/>
        <v>-85</v>
      </c>
      <c r="K695" t="str">
        <f t="shared" si="54"/>
        <v>Nov-2027</v>
      </c>
    </row>
    <row r="696" spans="1:11" x14ac:dyDescent="0.3">
      <c r="A696" s="3">
        <v>46706</v>
      </c>
      <c r="B696" s="2" t="str">
        <f t="shared" si="50"/>
        <v>Nov-2027</v>
      </c>
      <c r="C696">
        <v>167</v>
      </c>
      <c r="D696">
        <v>239</v>
      </c>
      <c r="E696">
        <v>166</v>
      </c>
      <c r="F696" s="1">
        <v>7800</v>
      </c>
      <c r="G696">
        <v>248</v>
      </c>
      <c r="H696">
        <f t="shared" si="51"/>
        <v>0.69456066945606698</v>
      </c>
      <c r="I696">
        <f t="shared" si="52"/>
        <v>3.1794871794871796E-2</v>
      </c>
      <c r="J696">
        <f t="shared" si="53"/>
        <v>-81</v>
      </c>
      <c r="K696" t="str">
        <f t="shared" si="54"/>
        <v>Nov-2027</v>
      </c>
    </row>
    <row r="697" spans="1:11" x14ac:dyDescent="0.3">
      <c r="A697" s="3">
        <v>46707</v>
      </c>
      <c r="B697" s="2" t="str">
        <f t="shared" si="50"/>
        <v>Nov-2027</v>
      </c>
      <c r="C697">
        <v>99</v>
      </c>
      <c r="D697">
        <v>190</v>
      </c>
      <c r="E697">
        <v>176</v>
      </c>
      <c r="F697" s="1">
        <v>7609</v>
      </c>
      <c r="G697">
        <v>323</v>
      </c>
      <c r="H697">
        <f t="shared" si="51"/>
        <v>0.9263157894736842</v>
      </c>
      <c r="I697">
        <f t="shared" si="52"/>
        <v>4.2449730582205282E-2</v>
      </c>
      <c r="J697">
        <f t="shared" si="53"/>
        <v>-224</v>
      </c>
      <c r="K697" t="str">
        <f t="shared" si="54"/>
        <v>Nov-2027</v>
      </c>
    </row>
    <row r="698" spans="1:11" x14ac:dyDescent="0.3">
      <c r="A698" s="3">
        <v>46708</v>
      </c>
      <c r="B698" s="2" t="str">
        <f t="shared" si="50"/>
        <v>Nov-2027</v>
      </c>
      <c r="C698">
        <v>101</v>
      </c>
      <c r="D698">
        <v>162</v>
      </c>
      <c r="E698">
        <v>178</v>
      </c>
      <c r="F698" s="1">
        <v>7914</v>
      </c>
      <c r="G698">
        <v>386</v>
      </c>
      <c r="H698">
        <f t="shared" si="51"/>
        <v>1.0987654320987654</v>
      </c>
      <c r="I698">
        <f t="shared" si="52"/>
        <v>4.8774323982815261E-2</v>
      </c>
      <c r="J698">
        <f t="shared" si="53"/>
        <v>-285</v>
      </c>
      <c r="K698" t="str">
        <f t="shared" si="54"/>
        <v>Nov-2027</v>
      </c>
    </row>
    <row r="699" spans="1:11" x14ac:dyDescent="0.3">
      <c r="A699" s="3">
        <v>46709</v>
      </c>
      <c r="B699" s="2" t="str">
        <f t="shared" si="50"/>
        <v>Nov-2027</v>
      </c>
      <c r="C699">
        <v>107</v>
      </c>
      <c r="D699">
        <v>215</v>
      </c>
      <c r="E699">
        <v>230</v>
      </c>
      <c r="F699" s="1">
        <v>7978</v>
      </c>
      <c r="G699">
        <v>232</v>
      </c>
      <c r="H699">
        <f t="shared" si="51"/>
        <v>1.069767441860465</v>
      </c>
      <c r="I699">
        <f t="shared" si="52"/>
        <v>2.9079969917272498E-2</v>
      </c>
      <c r="J699">
        <f t="shared" si="53"/>
        <v>-125</v>
      </c>
      <c r="K699" t="str">
        <f t="shared" si="54"/>
        <v>Nov-2027</v>
      </c>
    </row>
    <row r="700" spans="1:11" x14ac:dyDescent="0.3">
      <c r="A700" s="3">
        <v>46710</v>
      </c>
      <c r="B700" s="2" t="str">
        <f t="shared" si="50"/>
        <v>Nov-2027</v>
      </c>
      <c r="C700">
        <v>184</v>
      </c>
      <c r="D700">
        <v>314</v>
      </c>
      <c r="E700">
        <v>217</v>
      </c>
      <c r="F700" s="1">
        <v>7967</v>
      </c>
      <c r="G700">
        <v>213</v>
      </c>
      <c r="H700">
        <f t="shared" si="51"/>
        <v>0.69108280254777066</v>
      </c>
      <c r="I700">
        <f t="shared" si="52"/>
        <v>2.6735283042550521E-2</v>
      </c>
      <c r="J700">
        <f t="shared" si="53"/>
        <v>-29</v>
      </c>
      <c r="K700" t="str">
        <f t="shared" si="54"/>
        <v>Nov-2027</v>
      </c>
    </row>
    <row r="701" spans="1:11" x14ac:dyDescent="0.3">
      <c r="A701" s="3">
        <v>46711</v>
      </c>
      <c r="B701" s="2" t="str">
        <f t="shared" si="50"/>
        <v>Nov-2027</v>
      </c>
      <c r="C701">
        <v>209</v>
      </c>
      <c r="D701">
        <v>285</v>
      </c>
      <c r="E701">
        <v>184</v>
      </c>
      <c r="F701" s="1">
        <v>7817</v>
      </c>
      <c r="G701">
        <v>209</v>
      </c>
      <c r="H701">
        <f t="shared" si="51"/>
        <v>0.64561403508771931</v>
      </c>
      <c r="I701">
        <f t="shared" si="52"/>
        <v>2.6736599718562109E-2</v>
      </c>
      <c r="J701">
        <f t="shared" si="53"/>
        <v>0</v>
      </c>
      <c r="K701" t="str">
        <f t="shared" si="54"/>
        <v>Nov-2027</v>
      </c>
    </row>
    <row r="702" spans="1:11" x14ac:dyDescent="0.3">
      <c r="A702" s="3">
        <v>46712</v>
      </c>
      <c r="B702" s="2" t="str">
        <f t="shared" si="50"/>
        <v>Nov-2027</v>
      </c>
      <c r="C702">
        <v>81</v>
      </c>
      <c r="D702">
        <v>213</v>
      </c>
      <c r="E702">
        <v>153</v>
      </c>
      <c r="F702" s="1">
        <v>7793</v>
      </c>
      <c r="G702">
        <v>361</v>
      </c>
      <c r="H702">
        <f t="shared" si="51"/>
        <v>0.71830985915492962</v>
      </c>
      <c r="I702">
        <f t="shared" si="52"/>
        <v>4.6323623764917235E-2</v>
      </c>
      <c r="J702">
        <f t="shared" si="53"/>
        <v>-280</v>
      </c>
      <c r="K702" t="str">
        <f t="shared" si="54"/>
        <v>Nov-2027</v>
      </c>
    </row>
    <row r="703" spans="1:11" x14ac:dyDescent="0.3">
      <c r="A703" s="3">
        <v>46713</v>
      </c>
      <c r="B703" s="2" t="str">
        <f t="shared" si="50"/>
        <v>Nov-2027</v>
      </c>
      <c r="C703">
        <v>91</v>
      </c>
      <c r="D703">
        <v>199</v>
      </c>
      <c r="E703">
        <v>172</v>
      </c>
      <c r="F703" s="1">
        <v>7869</v>
      </c>
      <c r="G703">
        <v>290</v>
      </c>
      <c r="H703">
        <f t="shared" si="51"/>
        <v>0.86432160804020097</v>
      </c>
      <c r="I703">
        <f t="shared" si="52"/>
        <v>3.6853475663997964E-2</v>
      </c>
      <c r="J703">
        <f t="shared" si="53"/>
        <v>-199</v>
      </c>
      <c r="K703" t="str">
        <f t="shared" si="54"/>
        <v>Nov-2027</v>
      </c>
    </row>
    <row r="704" spans="1:11" x14ac:dyDescent="0.3">
      <c r="A704" s="3">
        <v>46714</v>
      </c>
      <c r="B704" s="2" t="str">
        <f t="shared" si="50"/>
        <v>Nov-2027</v>
      </c>
      <c r="C704">
        <v>154</v>
      </c>
      <c r="D704">
        <v>225</v>
      </c>
      <c r="E704">
        <v>220</v>
      </c>
      <c r="F704" s="1">
        <v>7794</v>
      </c>
      <c r="G704">
        <v>223</v>
      </c>
      <c r="H704">
        <f t="shared" si="51"/>
        <v>0.97777777777777775</v>
      </c>
      <c r="I704">
        <f t="shared" si="52"/>
        <v>2.8611752630228381E-2</v>
      </c>
      <c r="J704">
        <f t="shared" si="53"/>
        <v>-69</v>
      </c>
      <c r="K704" t="str">
        <f t="shared" si="54"/>
        <v>Nov-2027</v>
      </c>
    </row>
    <row r="705" spans="1:11" x14ac:dyDescent="0.3">
      <c r="A705" s="3">
        <v>46715</v>
      </c>
      <c r="B705" s="2" t="str">
        <f t="shared" si="50"/>
        <v>Nov-2027</v>
      </c>
      <c r="C705">
        <v>186</v>
      </c>
      <c r="D705">
        <v>259</v>
      </c>
      <c r="E705">
        <v>172</v>
      </c>
      <c r="F705" s="1">
        <v>7483</v>
      </c>
      <c r="G705">
        <v>244</v>
      </c>
      <c r="H705">
        <f t="shared" si="51"/>
        <v>0.6640926640926641</v>
      </c>
      <c r="I705">
        <f t="shared" si="52"/>
        <v>3.2607243084324472E-2</v>
      </c>
      <c r="J705">
        <f t="shared" si="53"/>
        <v>-58</v>
      </c>
      <c r="K705" t="str">
        <f t="shared" si="54"/>
        <v>Nov-2027</v>
      </c>
    </row>
    <row r="706" spans="1:11" x14ac:dyDescent="0.3">
      <c r="A706" s="3">
        <v>46716</v>
      </c>
      <c r="B706" s="2" t="str">
        <f t="shared" si="50"/>
        <v>Nov-2027</v>
      </c>
      <c r="C706">
        <v>92</v>
      </c>
      <c r="D706">
        <v>203</v>
      </c>
      <c r="E706">
        <v>173</v>
      </c>
      <c r="F706" s="1">
        <v>7434</v>
      </c>
      <c r="G706">
        <v>317</v>
      </c>
      <c r="H706">
        <f t="shared" si="51"/>
        <v>0.85221674876847286</v>
      </c>
      <c r="I706">
        <f t="shared" si="52"/>
        <v>4.2641915523271456E-2</v>
      </c>
      <c r="J706">
        <f t="shared" si="53"/>
        <v>-225</v>
      </c>
      <c r="K706" t="str">
        <f t="shared" si="54"/>
        <v>Nov-2027</v>
      </c>
    </row>
    <row r="707" spans="1:11" x14ac:dyDescent="0.3">
      <c r="A707" s="3">
        <v>46717</v>
      </c>
      <c r="B707" s="2" t="str">
        <f t="shared" ref="B707:B721" si="55">TEXT(A707,"mmm-yyyy")</f>
        <v>Nov-2027</v>
      </c>
      <c r="C707">
        <v>124</v>
      </c>
      <c r="D707">
        <v>234</v>
      </c>
      <c r="E707">
        <v>161</v>
      </c>
      <c r="F707" s="1">
        <v>7908</v>
      </c>
      <c r="G707">
        <v>353</v>
      </c>
      <c r="H707">
        <f t="shared" ref="H707:H721" si="56">E707/D707</f>
        <v>0.68803418803418803</v>
      </c>
      <c r="I707">
        <f t="shared" ref="I707:I719" si="57">G707/F707</f>
        <v>4.4638340920586744E-2</v>
      </c>
      <c r="J707">
        <f t="shared" ref="J707:J721" si="58">C707-G707</f>
        <v>-229</v>
      </c>
      <c r="K707" t="str">
        <f>TEXT(A707,"mmm-yyyy")</f>
        <v>Nov-2027</v>
      </c>
    </row>
    <row r="708" spans="1:11" x14ac:dyDescent="0.3">
      <c r="A708" s="3">
        <v>46718</v>
      </c>
      <c r="B708" s="2" t="str">
        <f t="shared" si="55"/>
        <v>Nov-2027</v>
      </c>
      <c r="C708">
        <v>93</v>
      </c>
      <c r="D708">
        <v>196</v>
      </c>
      <c r="E708">
        <v>169</v>
      </c>
      <c r="F708" s="1">
        <v>7915</v>
      </c>
      <c r="G708">
        <v>317</v>
      </c>
      <c r="H708">
        <f t="shared" si="56"/>
        <v>0.86224489795918369</v>
      </c>
      <c r="I708">
        <f t="shared" si="57"/>
        <v>4.0050536955148451E-2</v>
      </c>
      <c r="J708">
        <f t="shared" si="58"/>
        <v>-224</v>
      </c>
      <c r="K708" t="str">
        <f>TEXT(A708,"mmm-yyyy")</f>
        <v>Nov-2027</v>
      </c>
    </row>
    <row r="709" spans="1:11" x14ac:dyDescent="0.3">
      <c r="A709" s="3">
        <v>46719</v>
      </c>
      <c r="B709" s="2" t="str">
        <f t="shared" si="55"/>
        <v>Nov-2027</v>
      </c>
      <c r="C709">
        <v>16</v>
      </c>
      <c r="D709">
        <v>20</v>
      </c>
      <c r="E709">
        <v>20</v>
      </c>
      <c r="F709" s="1">
        <v>7855</v>
      </c>
      <c r="G709">
        <v>200</v>
      </c>
      <c r="H709">
        <f t="shared" si="56"/>
        <v>1</v>
      </c>
      <c r="I709">
        <f t="shared" si="57"/>
        <v>2.5461489497135583E-2</v>
      </c>
      <c r="J709">
        <f t="shared" si="58"/>
        <v>-184</v>
      </c>
      <c r="K709" t="str">
        <f>TEXT(A709,"mmm-yyyy")</f>
        <v>Nov-2027</v>
      </c>
    </row>
    <row r="710" spans="1:11" x14ac:dyDescent="0.3">
      <c r="A710" s="3">
        <v>46720</v>
      </c>
      <c r="B710" s="2" t="str">
        <f t="shared" si="55"/>
        <v>Nov-2027</v>
      </c>
      <c r="C710">
        <v>11</v>
      </c>
      <c r="D710">
        <v>22</v>
      </c>
      <c r="E710">
        <v>12</v>
      </c>
      <c r="F710" s="1">
        <v>7720</v>
      </c>
      <c r="G710">
        <v>196</v>
      </c>
      <c r="H710">
        <f t="shared" si="56"/>
        <v>0.54545454545454541</v>
      </c>
      <c r="I710">
        <f t="shared" si="57"/>
        <v>2.5388601036269429E-2</v>
      </c>
      <c r="J710">
        <f t="shared" si="58"/>
        <v>-185</v>
      </c>
      <c r="K710" t="str">
        <f>TEXT(A710,"mmm-yyyy")</f>
        <v>Nov-2027</v>
      </c>
    </row>
    <row r="711" spans="1:11" x14ac:dyDescent="0.3">
      <c r="A711" s="3">
        <v>46721</v>
      </c>
      <c r="B711" s="2" t="str">
        <f t="shared" si="55"/>
        <v>Nov-2027</v>
      </c>
      <c r="C711">
        <v>16</v>
      </c>
      <c r="D711">
        <v>18</v>
      </c>
      <c r="E711">
        <v>15</v>
      </c>
      <c r="F711" s="1">
        <v>7586</v>
      </c>
      <c r="G711">
        <v>342</v>
      </c>
      <c r="H711">
        <f t="shared" si="56"/>
        <v>0.83333333333333337</v>
      </c>
      <c r="I711">
        <f t="shared" si="57"/>
        <v>4.5083047719483259E-2</v>
      </c>
      <c r="J711">
        <f t="shared" si="58"/>
        <v>-326</v>
      </c>
      <c r="K711" t="str">
        <f>TEXT(A711,"mmm-yyyy")</f>
        <v>Nov-2027</v>
      </c>
    </row>
    <row r="712" spans="1:11" x14ac:dyDescent="0.3">
      <c r="A712" s="3">
        <v>46722</v>
      </c>
      <c r="B712" s="2" t="str">
        <f t="shared" si="55"/>
        <v>Dec-2027</v>
      </c>
      <c r="C712">
        <v>15</v>
      </c>
      <c r="D712">
        <v>13</v>
      </c>
      <c r="E712">
        <v>23</v>
      </c>
      <c r="F712" s="1">
        <v>7879</v>
      </c>
      <c r="G712">
        <v>298</v>
      </c>
      <c r="H712">
        <f t="shared" si="56"/>
        <v>1.7692307692307692</v>
      </c>
      <c r="I712">
        <f t="shared" si="57"/>
        <v>3.7822058636882851E-2</v>
      </c>
      <c r="J712">
        <f t="shared" si="58"/>
        <v>-283</v>
      </c>
      <c r="K712" t="str">
        <f>TEXT(A712,"mmm-yyyy")</f>
        <v>Dec-2027</v>
      </c>
    </row>
    <row r="713" spans="1:11" x14ac:dyDescent="0.3">
      <c r="A713" s="3">
        <v>46723</v>
      </c>
      <c r="B713" s="2" t="str">
        <f t="shared" si="55"/>
        <v>Dec-2027</v>
      </c>
      <c r="C713">
        <v>25</v>
      </c>
      <c r="D713">
        <v>32</v>
      </c>
      <c r="E713">
        <v>27</v>
      </c>
      <c r="F713" s="1">
        <v>7903</v>
      </c>
      <c r="G713">
        <v>231</v>
      </c>
      <c r="H713">
        <f t="shared" si="56"/>
        <v>0.84375</v>
      </c>
      <c r="I713">
        <f t="shared" si="57"/>
        <v>2.9229406554472984E-2</v>
      </c>
      <c r="J713">
        <f t="shared" si="58"/>
        <v>-206</v>
      </c>
      <c r="K713" t="str">
        <f>TEXT(A713,"mmm-yyyy")</f>
        <v>Dec-2027</v>
      </c>
    </row>
    <row r="714" spans="1:11" x14ac:dyDescent="0.3">
      <c r="A714" s="3">
        <v>46724</v>
      </c>
      <c r="B714" s="2" t="str">
        <f t="shared" si="55"/>
        <v>Dec-2027</v>
      </c>
      <c r="C714">
        <v>26</v>
      </c>
      <c r="D714">
        <v>36</v>
      </c>
      <c r="E714">
        <v>36</v>
      </c>
      <c r="F714" s="1">
        <v>7803</v>
      </c>
      <c r="G714">
        <v>158</v>
      </c>
      <c r="H714">
        <f t="shared" si="56"/>
        <v>1</v>
      </c>
      <c r="I714">
        <f t="shared" si="57"/>
        <v>2.0248622324746893E-2</v>
      </c>
      <c r="J714">
        <f t="shared" si="58"/>
        <v>-132</v>
      </c>
      <c r="K714" t="str">
        <f>TEXT(A714,"mmm-yyyy")</f>
        <v>Dec-2027</v>
      </c>
    </row>
    <row r="715" spans="1:11" x14ac:dyDescent="0.3">
      <c r="A715" s="3">
        <v>46725</v>
      </c>
      <c r="B715" s="2" t="str">
        <f t="shared" si="55"/>
        <v>Dec-2027</v>
      </c>
      <c r="C715">
        <v>34</v>
      </c>
      <c r="D715">
        <v>54</v>
      </c>
      <c r="E715">
        <v>29</v>
      </c>
      <c r="F715" s="1">
        <v>7743</v>
      </c>
      <c r="G715">
        <v>196</v>
      </c>
      <c r="H715">
        <f t="shared" si="56"/>
        <v>0.53703703703703709</v>
      </c>
      <c r="I715">
        <f t="shared" si="57"/>
        <v>2.5313186103577426E-2</v>
      </c>
      <c r="J715">
        <f t="shared" si="58"/>
        <v>-162</v>
      </c>
      <c r="K715" t="str">
        <f>TEXT(A715,"mmm-yyyy")</f>
        <v>Dec-2027</v>
      </c>
    </row>
    <row r="716" spans="1:11" x14ac:dyDescent="0.3">
      <c r="A716" s="3">
        <v>46726</v>
      </c>
      <c r="B716" s="2" t="str">
        <f t="shared" si="55"/>
        <v>Dec-2027</v>
      </c>
      <c r="C716">
        <v>23</v>
      </c>
      <c r="D716">
        <v>45</v>
      </c>
      <c r="E716">
        <v>11</v>
      </c>
      <c r="F716" s="1">
        <v>7472</v>
      </c>
      <c r="G716">
        <v>303</v>
      </c>
      <c r="H716">
        <f t="shared" si="56"/>
        <v>0.24444444444444444</v>
      </c>
      <c r="I716">
        <f t="shared" si="57"/>
        <v>4.0551391862955033E-2</v>
      </c>
      <c r="J716">
        <f t="shared" si="58"/>
        <v>-280</v>
      </c>
      <c r="K716" t="str">
        <f>TEXT(A716,"mmm-yyyy")</f>
        <v>Dec-2027</v>
      </c>
    </row>
    <row r="717" spans="1:11" x14ac:dyDescent="0.3">
      <c r="A717" s="3">
        <v>46727</v>
      </c>
      <c r="B717" s="2" t="str">
        <f t="shared" si="55"/>
        <v>Dec-2027</v>
      </c>
      <c r="C717">
        <v>20</v>
      </c>
      <c r="D717">
        <v>22</v>
      </c>
      <c r="E717">
        <v>41</v>
      </c>
      <c r="F717" s="1">
        <v>7538</v>
      </c>
      <c r="G717">
        <v>180</v>
      </c>
      <c r="H717">
        <f t="shared" si="56"/>
        <v>1.8636363636363635</v>
      </c>
      <c r="I717">
        <f t="shared" si="57"/>
        <v>2.3879013000795968E-2</v>
      </c>
      <c r="J717">
        <f t="shared" si="58"/>
        <v>-160</v>
      </c>
      <c r="K717" t="str">
        <f>TEXT(A717,"mmm-yyyy")</f>
        <v>Dec-2027</v>
      </c>
    </row>
    <row r="718" spans="1:11" x14ac:dyDescent="0.3">
      <c r="A718" s="3">
        <v>46728</v>
      </c>
      <c r="B718" s="2" t="str">
        <f t="shared" si="55"/>
        <v>Dec-2027</v>
      </c>
      <c r="C718">
        <v>47</v>
      </c>
      <c r="D718">
        <v>42</v>
      </c>
      <c r="E718">
        <v>47</v>
      </c>
      <c r="F718" s="1">
        <v>7433</v>
      </c>
      <c r="G718">
        <v>175</v>
      </c>
      <c r="H718">
        <f t="shared" si="56"/>
        <v>1.1190476190476191</v>
      </c>
      <c r="I718">
        <f t="shared" si="57"/>
        <v>2.3543656666218216E-2</v>
      </c>
      <c r="J718">
        <f t="shared" si="58"/>
        <v>-128</v>
      </c>
      <c r="K718" t="str">
        <f>TEXT(A718,"mmm-yyyy")</f>
        <v>Dec-2027</v>
      </c>
    </row>
    <row r="719" spans="1:11" x14ac:dyDescent="0.3">
      <c r="A719" s="3">
        <v>46729</v>
      </c>
      <c r="B719" s="2" t="str">
        <f t="shared" si="55"/>
        <v>Dec-2027</v>
      </c>
      <c r="C719">
        <v>32</v>
      </c>
      <c r="D719">
        <v>50</v>
      </c>
      <c r="E719">
        <v>39</v>
      </c>
      <c r="F719" s="1">
        <v>7280</v>
      </c>
      <c r="G719">
        <v>181</v>
      </c>
      <c r="H719">
        <f t="shared" si="56"/>
        <v>0.78</v>
      </c>
      <c r="I719">
        <f t="shared" si="57"/>
        <v>2.4862637362637361E-2</v>
      </c>
      <c r="J719">
        <f t="shared" si="58"/>
        <v>-149</v>
      </c>
      <c r="K719" t="str">
        <f>TEXT(A719,"mmm-yyyy")</f>
        <v>Dec-2027</v>
      </c>
    </row>
    <row r="720" spans="1:11" x14ac:dyDescent="0.3">
      <c r="A720" s="3">
        <v>46730</v>
      </c>
      <c r="B720" s="2" t="str">
        <f t="shared" si="55"/>
        <v>Dec-2027</v>
      </c>
      <c r="C720">
        <v>32</v>
      </c>
      <c r="D720">
        <v>49</v>
      </c>
      <c r="E720">
        <v>39</v>
      </c>
      <c r="F720" s="1">
        <v>7122</v>
      </c>
      <c r="G720">
        <v>227</v>
      </c>
      <c r="H720">
        <f t="shared" si="56"/>
        <v>0.79591836734693877</v>
      </c>
      <c r="I720">
        <f>G720/F720</f>
        <v>3.1873069362538614E-2</v>
      </c>
      <c r="J720">
        <f t="shared" si="58"/>
        <v>-195</v>
      </c>
      <c r="K720" t="str">
        <f>TEXT(A720,"mmm-yyyy")</f>
        <v>Dec-2027</v>
      </c>
    </row>
    <row r="721" spans="1:11" x14ac:dyDescent="0.3">
      <c r="A721" s="3">
        <v>46731</v>
      </c>
      <c r="B721" s="2" t="str">
        <f t="shared" si="55"/>
        <v>Dec-2027</v>
      </c>
      <c r="C721">
        <v>33</v>
      </c>
      <c r="D721">
        <v>53</v>
      </c>
      <c r="E721">
        <v>34</v>
      </c>
      <c r="F721" s="1">
        <v>6566</v>
      </c>
      <c r="G721">
        <v>436</v>
      </c>
      <c r="H721">
        <f t="shared" si="56"/>
        <v>0.64150943396226412</v>
      </c>
      <c r="I721">
        <f t="shared" ref="I721" si="59">G721/F721</f>
        <v>6.6402680475175141E-2</v>
      </c>
      <c r="J721">
        <f t="shared" si="58"/>
        <v>-403</v>
      </c>
      <c r="K721" t="str">
        <f>TEXT(A721,"mmm-yyyy")</f>
        <v>Dec-2027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A457-000B-476C-8CC5-9964AC7AEFB5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70.109375" customWidth="1"/>
    <col min="2" max="2" width="8.88671875" customWidth="1"/>
  </cols>
  <sheetData>
    <row r="1" spans="1:2" ht="25.8" x14ac:dyDescent="0.5">
      <c r="A1" s="7" t="s">
        <v>17</v>
      </c>
    </row>
    <row r="2" spans="1:2" ht="21" x14ac:dyDescent="0.4">
      <c r="A2" s="6" t="s">
        <v>10</v>
      </c>
      <c r="B2" t="s">
        <v>11</v>
      </c>
    </row>
    <row r="3" spans="1:2" ht="21" x14ac:dyDescent="0.4">
      <c r="A3" s="6" t="s">
        <v>12</v>
      </c>
      <c r="B3" s="4">
        <f>AVERAGE(HHS_Unaccompanied_Alien_Childre!H:H)</f>
        <v>0.69101765231348078</v>
      </c>
    </row>
    <row r="4" spans="1:2" ht="21" x14ac:dyDescent="0.4">
      <c r="A4" s="6" t="s">
        <v>13</v>
      </c>
      <c r="B4" s="4">
        <f>AVERAGE(HHS_Unaccompanied_Alien_Childre!I:I)</f>
        <v>2.3737002796523035E-2</v>
      </c>
    </row>
    <row r="5" spans="1:2" ht="21" x14ac:dyDescent="0.4">
      <c r="A5" s="6" t="s">
        <v>14</v>
      </c>
      <c r="B5" s="5">
        <f>AVERAGE(HHS_Unaccompanied_Alien_Childre!J:J)</f>
        <v>-79.88333333333334</v>
      </c>
    </row>
    <row r="6" spans="1:2" ht="21" x14ac:dyDescent="0.4">
      <c r="A6" s="6" t="s">
        <v>15</v>
      </c>
      <c r="B6">
        <f>MAX(HHS_Unaccompanied_Alien_Childre!D:D)</f>
        <v>531</v>
      </c>
    </row>
    <row r="7" spans="1:2" ht="21" x14ac:dyDescent="0.4">
      <c r="A7" s="6" t="s">
        <v>16</v>
      </c>
      <c r="B7" s="1">
        <f>MAX(HHS_Unaccompanied_Alien_Childre!F:F)</f>
        <v>11516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HHS_Unaccompanied_Alien_Childre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Mishra</dc:creator>
  <cp:lastModifiedBy>Debasish Mishra</cp:lastModifiedBy>
  <dcterms:created xsi:type="dcterms:W3CDTF">2026-06-01T19:55:04Z</dcterms:created>
  <dcterms:modified xsi:type="dcterms:W3CDTF">2026-06-01T19:55:04Z</dcterms:modified>
</cp:coreProperties>
</file>